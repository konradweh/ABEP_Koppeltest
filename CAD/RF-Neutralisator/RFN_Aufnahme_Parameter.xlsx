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w\Documents\ABEP_Koppeltest\CAD\RF-Neutralisator\"/>
    </mc:Choice>
  </mc:AlternateContent>
  <xr:revisionPtr revIDLastSave="0" documentId="11_4AFE83A7A4A7DBE72507964506C54BB8A8C25E7B" xr6:coauthVersionLast="47" xr6:coauthVersionMax="47" xr10:uidLastSave="{00000000-0000-0000-0000-000000000000}"/>
  <bookViews>
    <workbookView xWindow="30612" yWindow="-264" windowWidth="30936" windowHeight="17016" tabRatio="500" xr2:uid="{00000000-000D-0000-FFFF-FFFF00000000}"/>
  </bookViews>
  <sheets>
    <sheet name="Parameter" sheetId="1" r:id="rId1"/>
    <sheet name="Inventor_Anleitung" sheetId="2" r:id="rId2"/>
    <sheet name="Baugruppe" sheetId="3" r:id="rId3"/>
    <sheet name="Auslegung" sheetId="4" r:id="rId4"/>
    <sheet name="Pruefungen" sheetId="5" r:id="rId5"/>
    <sheet name="Aenderungen"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4" i="5" l="1"/>
  <c r="F124" i="5" s="1"/>
  <c r="B123" i="5"/>
  <c r="F123" i="5" s="1"/>
  <c r="B116" i="5"/>
  <c r="F116" i="5" s="1"/>
  <c r="B106" i="5"/>
  <c r="F106" i="5" s="1"/>
  <c r="B105" i="5"/>
  <c r="F105" i="5" s="1"/>
  <c r="B104" i="5"/>
  <c r="F104" i="5" s="1"/>
  <c r="B103" i="5"/>
  <c r="F103" i="5" s="1"/>
  <c r="F102" i="5"/>
  <c r="B102" i="5"/>
  <c r="B97" i="5"/>
  <c r="F97" i="5" s="1"/>
  <c r="B96" i="5"/>
  <c r="F96" i="5" s="1"/>
  <c r="B95" i="5"/>
  <c r="F95" i="5" s="1"/>
  <c r="B94" i="5"/>
  <c r="F94" i="5" s="1"/>
  <c r="B93" i="5"/>
  <c r="F93" i="5" s="1"/>
  <c r="B86" i="5"/>
  <c r="F86" i="5" s="1"/>
  <c r="B77" i="5"/>
  <c r="F77" i="5" s="1"/>
  <c r="B76" i="5"/>
  <c r="F76" i="5" s="1"/>
  <c r="B75" i="5"/>
  <c r="F75" i="5" s="1"/>
  <c r="F74" i="5"/>
  <c r="B74" i="5"/>
  <c r="B73" i="5"/>
  <c r="F73" i="5" s="1"/>
  <c r="B67" i="5"/>
  <c r="F67" i="5" s="1"/>
  <c r="B66" i="5"/>
  <c r="F66" i="5" s="1"/>
  <c r="B65" i="5"/>
  <c r="F65" i="5" s="1"/>
  <c r="B64" i="5"/>
  <c r="F64" i="5" s="1"/>
  <c r="B61" i="5"/>
  <c r="F61" i="5" s="1"/>
  <c r="F60" i="5"/>
  <c r="B60" i="5"/>
  <c r="B54" i="5"/>
  <c r="F54" i="5" s="1"/>
  <c r="B53" i="5"/>
  <c r="F53" i="5" s="1"/>
  <c r="B52" i="5"/>
  <c r="F52" i="5" s="1"/>
  <c r="B51" i="5"/>
  <c r="F51" i="5" s="1"/>
  <c r="B48" i="5"/>
  <c r="F48" i="5" s="1"/>
  <c r="F46" i="5"/>
  <c r="B46" i="5"/>
  <c r="B45" i="5"/>
  <c r="F45" i="5" s="1"/>
  <c r="B42" i="5"/>
  <c r="F42" i="5" s="1"/>
  <c r="B39" i="5"/>
  <c r="F39" i="5" s="1"/>
  <c r="B37" i="5"/>
  <c r="F37" i="5" s="1"/>
  <c r="B35" i="5"/>
  <c r="F35" i="5" s="1"/>
  <c r="B34" i="5"/>
  <c r="F34" i="5" s="1"/>
  <c r="F32" i="5"/>
  <c r="B32" i="5"/>
  <c r="B31" i="5"/>
  <c r="F31" i="5" s="1"/>
  <c r="B30" i="5"/>
  <c r="F30" i="5" s="1"/>
  <c r="B29" i="5"/>
  <c r="F29" i="5" s="1"/>
  <c r="B28" i="5"/>
  <c r="F28" i="5" s="1"/>
  <c r="B27" i="5"/>
  <c r="F27" i="5" s="1"/>
  <c r="B26" i="5"/>
  <c r="F26" i="5" s="1"/>
  <c r="B25" i="5"/>
  <c r="F25" i="5" s="1"/>
  <c r="B24" i="5"/>
  <c r="F24" i="5" s="1"/>
  <c r="B23" i="5"/>
  <c r="F23" i="5" s="1"/>
  <c r="B21" i="5"/>
  <c r="F21" i="5" s="1"/>
  <c r="B20" i="5"/>
  <c r="F20" i="5" s="1"/>
  <c r="B19" i="5"/>
  <c r="F19" i="5" s="1"/>
  <c r="B16" i="5"/>
  <c r="F16" i="5" s="1"/>
  <c r="B15" i="5"/>
  <c r="F15" i="5" s="1"/>
  <c r="B9" i="5"/>
  <c r="F9" i="5" s="1"/>
  <c r="B23" i="4"/>
  <c r="B59" i="5" s="1"/>
  <c r="F59" i="5" s="1"/>
  <c r="B22" i="4"/>
  <c r="B21" i="4"/>
  <c r="B20" i="4"/>
  <c r="B18" i="5" s="1"/>
  <c r="F18" i="5" s="1"/>
  <c r="B19" i="4"/>
  <c r="B17" i="5" s="1"/>
  <c r="F17" i="5" s="1"/>
  <c r="B14" i="4"/>
  <c r="B56" i="5" s="1"/>
  <c r="F56" i="5" s="1"/>
  <c r="B12" i="4"/>
  <c r="B13" i="4" s="1"/>
  <c r="B242" i="1"/>
  <c r="B239" i="1"/>
  <c r="B236" i="1"/>
  <c r="B129" i="5" s="1"/>
  <c r="F129" i="5" s="1"/>
  <c r="B231" i="1"/>
  <c r="B121" i="5" s="1"/>
  <c r="F121" i="5" s="1"/>
  <c r="B228" i="1"/>
  <c r="B117" i="5" s="1"/>
  <c r="F117" i="5" s="1"/>
  <c r="B227" i="1"/>
  <c r="B226" i="1"/>
  <c r="B224" i="1"/>
  <c r="B221" i="1"/>
  <c r="B212" i="1"/>
  <c r="B125" i="5" s="1"/>
  <c r="F125" i="5" s="1"/>
  <c r="B210" i="1"/>
  <c r="B199" i="1"/>
  <c r="B189" i="1"/>
  <c r="B188" i="1"/>
  <c r="B187" i="1"/>
  <c r="B182" i="1"/>
  <c r="B160" i="1"/>
  <c r="B87" i="5" s="1"/>
  <c r="F87" i="5" s="1"/>
  <c r="B150" i="1"/>
  <c r="B85" i="5" s="1"/>
  <c r="F85" i="5" s="1"/>
  <c r="B144" i="1"/>
  <c r="B141" i="1"/>
  <c r="B70" i="5" s="1"/>
  <c r="F70" i="5" s="1"/>
  <c r="B139" i="1"/>
  <c r="B71" i="5" s="1"/>
  <c r="F71" i="5" s="1"/>
  <c r="B128" i="1"/>
  <c r="B127" i="1"/>
  <c r="B125" i="1"/>
  <c r="B124" i="1"/>
  <c r="B122" i="1"/>
  <c r="B44" i="5" s="1"/>
  <c r="F44" i="5" s="1"/>
  <c r="B103" i="1"/>
  <c r="B102" i="1"/>
  <c r="B101" i="1"/>
  <c r="B94" i="1"/>
  <c r="B90" i="1"/>
  <c r="B80" i="1"/>
  <c r="B79" i="1"/>
  <c r="B71" i="1"/>
  <c r="B69" i="1"/>
  <c r="B36" i="5" s="1"/>
  <c r="F36" i="5" s="1"/>
  <c r="B68" i="1"/>
  <c r="B62" i="5" s="1"/>
  <c r="F62" i="5" s="1"/>
  <c r="B67" i="1"/>
  <c r="B66" i="1"/>
  <c r="B65" i="1"/>
  <c r="B64" i="1"/>
  <c r="B59" i="1"/>
  <c r="B21" i="1"/>
  <c r="B15" i="1"/>
  <c r="B14" i="1"/>
  <c r="B15" i="4" l="1"/>
  <c r="B49" i="5"/>
  <c r="F49" i="5" s="1"/>
  <c r="B107" i="5"/>
  <c r="F107" i="5" s="1"/>
  <c r="B232" i="1"/>
  <c r="B118" i="5"/>
  <c r="F118" i="5" s="1"/>
  <c r="B122" i="5"/>
  <c r="F122" i="5" s="1"/>
  <c r="B119" i="5"/>
  <c r="F119" i="5" s="1"/>
  <c r="B114" i="5"/>
  <c r="F114" i="5" s="1"/>
  <c r="B237" i="1"/>
  <c r="B113" i="5"/>
  <c r="F113" i="5" s="1"/>
  <c r="B217" i="1"/>
  <c r="B92" i="1"/>
  <c r="B98" i="5"/>
  <c r="F98" i="5" s="1"/>
  <c r="B99" i="5"/>
  <c r="F99" i="5" s="1"/>
  <c r="B100" i="5"/>
  <c r="F100" i="5" s="1"/>
  <c r="B101" i="5"/>
  <c r="F101" i="5" s="1"/>
  <c r="B193" i="1"/>
  <c r="B192" i="1"/>
  <c r="B183" i="1"/>
  <c r="B147" i="1"/>
  <c r="B146" i="1"/>
  <c r="B84" i="5"/>
  <c r="F84" i="5" s="1"/>
  <c r="B130" i="1"/>
  <c r="B126" i="1"/>
  <c r="B129" i="1" s="1"/>
  <c r="B131" i="1"/>
  <c r="B185" i="1"/>
  <c r="B57" i="5"/>
  <c r="F57" i="5" s="1"/>
  <c r="B109" i="5"/>
  <c r="F109" i="5" s="1"/>
  <c r="B47" i="5"/>
  <c r="F47" i="5" s="1"/>
  <c r="B108" i="5"/>
  <c r="F108" i="5" s="1"/>
  <c r="B63" i="5"/>
  <c r="F63" i="5" s="1"/>
  <c r="B88" i="5"/>
  <c r="F88" i="5" s="1"/>
  <c r="B68" i="5"/>
  <c r="F68" i="5" s="1"/>
  <c r="B175" i="1"/>
  <c r="B90" i="5" s="1"/>
  <c r="F90" i="5" s="1"/>
  <c r="B69" i="5"/>
  <c r="F69" i="5" s="1"/>
  <c r="B92" i="5"/>
  <c r="F92" i="5" s="1"/>
  <c r="B16" i="4"/>
  <c r="B10" i="5" s="1"/>
  <c r="F10" i="5" s="1"/>
  <c r="B22" i="5"/>
  <c r="F22" i="5" s="1"/>
  <c r="B8" i="5"/>
  <c r="F8" i="5" s="1"/>
  <c r="B7" i="5"/>
  <c r="F7" i="5" s="1"/>
  <c r="B17" i="4"/>
  <c r="B84" i="1"/>
  <c r="B6" i="5" s="1"/>
  <c r="F6" i="5" s="1"/>
  <c r="B70" i="1"/>
  <c r="B38" i="5" s="1"/>
  <c r="F38" i="5" s="1"/>
  <c r="B123" i="1"/>
  <c r="B157" i="1"/>
  <c r="B33" i="5"/>
  <c r="F33" i="5" s="1"/>
  <c r="B126" i="5" l="1"/>
  <c r="F126" i="5" s="1"/>
  <c r="B128" i="5"/>
  <c r="F128" i="5" s="1"/>
  <c r="B115" i="5"/>
  <c r="F115" i="5" s="1"/>
  <c r="B127" i="5"/>
  <c r="F127" i="5" s="1"/>
  <c r="B72" i="5"/>
  <c r="F72" i="5" s="1"/>
  <c r="B110" i="5"/>
  <c r="F110" i="5" s="1"/>
  <c r="B111" i="5"/>
  <c r="F111" i="5" s="1"/>
  <c r="B120" i="5"/>
  <c r="F120" i="5" s="1"/>
  <c r="B174" i="1"/>
  <c r="B79" i="5"/>
  <c r="F79" i="5" s="1"/>
  <c r="B82" i="5"/>
  <c r="F82" i="5" s="1"/>
  <c r="B83" i="5"/>
  <c r="F83" i="5" s="1"/>
  <c r="B151" i="1"/>
  <c r="B78" i="5"/>
  <c r="F78" i="5" s="1"/>
  <c r="B80" i="5"/>
  <c r="F80" i="5" s="1"/>
  <c r="B81" i="5"/>
  <c r="F81" i="5" s="1"/>
  <c r="B4" i="5"/>
  <c r="F4" i="5" s="1"/>
  <c r="B5" i="5"/>
  <c r="F5" i="5" s="1"/>
  <c r="B50" i="5"/>
  <c r="F50" i="5" s="1"/>
  <c r="B112" i="1"/>
  <c r="B117" i="1"/>
  <c r="B118" i="1" s="1"/>
  <c r="B119" i="1" s="1"/>
  <c r="B112" i="5"/>
  <c r="F112" i="5" s="1"/>
  <c r="B55" i="5"/>
  <c r="F55" i="5" s="1"/>
  <c r="B132" i="1"/>
  <c r="B14" i="5" s="1"/>
  <c r="F14" i="5" s="1"/>
  <c r="B13" i="5"/>
  <c r="F13" i="5" s="1"/>
  <c r="B18" i="4"/>
  <c r="B12" i="5" s="1"/>
  <c r="F12" i="5" s="1"/>
  <c r="B11" i="5"/>
  <c r="F11" i="5" s="1"/>
  <c r="B43" i="5"/>
  <c r="F43" i="5" s="1"/>
  <c r="B133" i="1"/>
  <c r="B58" i="5" s="1"/>
  <c r="F58" i="5" s="1"/>
  <c r="B40" i="5" l="1"/>
  <c r="F40" i="5" s="1"/>
  <c r="B41" i="5"/>
  <c r="F41" i="5" s="1"/>
  <c r="B89" i="5"/>
  <c r="F89" i="5" s="1"/>
  <c r="B91" i="5"/>
  <c r="F91" i="5" s="1"/>
</calcChain>
</file>

<file path=xl/sharedStrings.xml><?xml version="1.0" encoding="utf-8"?>
<sst xmlns="http://schemas.openxmlformats.org/spreadsheetml/2006/main" count="2476" uniqueCount="1493">
  <si>
    <t>Name</t>
  </si>
  <si>
    <t>Wert</t>
  </si>
  <si>
    <t>Einheit</t>
  </si>
  <si>
    <t>Kommentar</t>
  </si>
  <si>
    <t>Bauteil</t>
  </si>
  <si>
    <t>Hinweise</t>
  </si>
  <si>
    <t>d_glas_i</t>
  </si>
  <si>
    <t>mm</t>
  </si>
  <si>
    <t>Glas innen am Boden (Sockelbohrung r 23). Aus Glas_Gefaess.stp</t>
  </si>
  <si>
    <t>Glas</t>
  </si>
  <si>
    <t>Inventor: Verwalten &gt; Parameter &gt; Verknuepfen, Startzelle A2</t>
  </si>
  <si>
    <t>d_glas_eben</t>
  </si>
  <si>
    <t>Aussendurchmesser der ebenen Glasbodenflaeche (r 29.5). Aus STEP</t>
  </si>
  <si>
    <t>Block lueckenlos A2 bis D242, Zeile 243 bleibt leer.</t>
  </si>
  <si>
    <t>d_glas_fuss</t>
  </si>
  <si>
    <t>Glasfuss aussen. AM TEIL MESSEN, bestimmt die radiale O-Ring-Nut</t>
  </si>
  <si>
    <t>Keine Zwischenueberschriften im Block. Eine Zeile ohne</t>
  </si>
  <si>
    <t>h_glas_fase</t>
  </si>
  <si>
    <t>Fase 45 Grad am Glasboden, Hoehe = radiale Breite</t>
  </si>
  <si>
    <t>Wert bricht den Import ab.</t>
  </si>
  <si>
    <t>h_glas_fuss</t>
  </si>
  <si>
    <t>Glasboden bis Fussoberseite. AM TEIL MESSEN, an 4 Stellen</t>
  </si>
  <si>
    <t>d_glas_auflage</t>
  </si>
  <si>
    <t>Fussoberseite innen (r 27.1), hier drueckt der GFK-Ring</t>
  </si>
  <si>
    <t>GELB, blaue Zahl = Eingabe. Alles andere wird berechnet.</t>
  </si>
  <si>
    <t>t_bl</t>
  </si>
  <si>
    <t>Blendendicke, Molybdaenblech</t>
  </si>
  <si>
    <t>Blende</t>
  </si>
  <si>
    <t>Nie umsortieren, nie dazwischen einfuegen. Neue</t>
  </si>
  <si>
    <t>d_bl</t>
  </si>
  <si>
    <t>Blende aussen</t>
  </si>
  <si>
    <t>Parameter nur unten anhaengen, ab Zeile 243.</t>
  </si>
  <si>
    <t>d_bl_feld</t>
  </si>
  <si>
    <t>Groesstes Lochfeld. Alle Loecher muessen innerhalb liegen</t>
  </si>
  <si>
    <t>d_bl_loch</t>
  </si>
  <si>
    <t>Oeffnung der Standardblende, ein Loch mittig</t>
  </si>
  <si>
    <t>Nach dem Aendern speichern, Excel schliessen,</t>
  </si>
  <si>
    <t>d_bl_klemm</t>
  </si>
  <si>
    <t>Klemmloecher, 1 mm Spiel um M2 fuer die Waermedehnung</t>
  </si>
  <si>
    <t>dann in Inventor Verwalten &gt; Aktualisieren.</t>
  </si>
  <si>
    <t>t_kr</t>
  </si>
  <si>
    <t>Klemmringdicke = einziges Material hinter der Blende</t>
  </si>
  <si>
    <t>Klemmring</t>
  </si>
  <si>
    <t>d_kr_i</t>
  </si>
  <si>
    <t>Klemmring innen, buendig mit der Glasbohrung</t>
  </si>
  <si>
    <t>Durchmesser heissen d_, Radien r_, Hoehen h_ oder z_,</t>
  </si>
  <si>
    <t>d_kr_a</t>
  </si>
  <si>
    <t>Klemmring aussen = Blende aussen</t>
  </si>
  <si>
    <t>Dicken t_, Breiten b_, Spiele sp_, Winkel w_, Anzahl n_.</t>
  </si>
  <si>
    <t>b_kr_lasche</t>
  </si>
  <si>
    <t>Breite der Kontaktlasche</t>
  </si>
  <si>
    <t>Alle z-Werte zaehlen ab der Blendenunterseite (z=0),</t>
  </si>
  <si>
    <t>r_kr_lasche</t>
  </si>
  <si>
    <t>Lasche reicht bis zu diesem RADIUS</t>
  </si>
  <si>
    <t>positiv Richtung Glas.</t>
  </si>
  <si>
    <t>b_kr_schlitz</t>
  </si>
  <si>
    <t>Radialer Schlitz gegen Ringstrom, Fraeser Oe1. GEAENDERT v5d: vorher 0,5 (nur Laser)</t>
  </si>
  <si>
    <t>r_kontakt</t>
  </si>
  <si>
    <t>RADIUS von Kontaktbolzen, Laschengewinde, Huelsenbohrungen</t>
  </si>
  <si>
    <t>Winkel</t>
  </si>
  <si>
    <t>Diese Datei gehoert zum NEUEN Aufbau (Version 5 der</t>
  </si>
  <si>
    <t>w_kontakt</t>
  </si>
  <si>
    <t>deg</t>
  </si>
  <si>
    <t>Winkellage Kontaktbolzen ab X-Achse</t>
  </si>
  <si>
    <t>Blendenaufnahme). Die alte RFN_Dichtung_Parameter.xlsx</t>
  </si>
  <si>
    <t>w_schlitz</t>
  </si>
  <si>
    <t>Schlitz im Klemmring, gegenueber der Lasche</t>
  </si>
  <si>
    <t>bleibt mit Ring_unten_3 verknuepft und wird nicht mehr</t>
  </si>
  <si>
    <t>w_m2</t>
  </si>
  <si>
    <t>Winkellage der ersten M2-Klemmschraube</t>
  </si>
  <si>
    <t>geaendert.</t>
  </si>
  <si>
    <t>w_m25</t>
  </si>
  <si>
    <t>Winkellage der ersten M2.5-Traegerschraube</t>
  </si>
  <si>
    <t>w_m3</t>
  </si>
  <si>
    <t>Winkellage der ersten M3-Federschraube</t>
  </si>
  <si>
    <t>Blaetter: Pruefungen, Auslegung, Inventor_Anleitung,</t>
  </si>
  <si>
    <t>w_bef</t>
  </si>
  <si>
    <t>Winkellage der ersten M2-Befestigungsschraube</t>
  </si>
  <si>
    <t>Baugruppe, Aenderungen.</t>
  </si>
  <si>
    <t>w_stift</t>
  </si>
  <si>
    <t>Winkellage des Passstifts</t>
  </si>
  <si>
    <t>w_senk</t>
  </si>
  <si>
    <t>Senkwinkel aller Senkschrauben</t>
  </si>
  <si>
    <t>d_lk_m2</t>
  </si>
  <si>
    <t>Lochkreis M2 Klemmschrauben (Klemmring, Blende, Traeger)</t>
  </si>
  <si>
    <t>Lochkreise</t>
  </si>
  <si>
    <t>n_m2</t>
  </si>
  <si>
    <t>ul</t>
  </si>
  <si>
    <t>Anzahl M2 Klemmschrauben</t>
  </si>
  <si>
    <t>d_lk_m25</t>
  </si>
  <si>
    <t>Lochkreis M2.5 Traeger an Stahlring. GEAENDERT v5: vorher 72, jetzt neben der Tasche und durchgebohrt</t>
  </si>
  <si>
    <t>n_m25</t>
  </si>
  <si>
    <t>Anzahl M2.5 Traegerschrauben</t>
  </si>
  <si>
    <t>d_lk_m3</t>
  </si>
  <si>
    <t>Lochkreis M3 Federschrauben (Stahlring, GFK-Ring oben)</t>
  </si>
  <si>
    <t>n_m3</t>
  </si>
  <si>
    <t>Anzahl M3 Federschrauben</t>
  </si>
  <si>
    <t>d_lk_bef</t>
  </si>
  <si>
    <t>Lochkreis M2 Befestigung und Passstift (Stahlring, Frontplatte)</t>
  </si>
  <si>
    <t>n_bef</t>
  </si>
  <si>
    <t>Anzahl M2 Befestigungsschrauben</t>
  </si>
  <si>
    <t>d_m2_durch</t>
  </si>
  <si>
    <t>Durchgang M2</t>
  </si>
  <si>
    <t>Normteile</t>
  </si>
  <si>
    <t>d_m2_senk</t>
  </si>
  <si>
    <t>Senkdurchmesser an der Oberflaeche ISO 14581 M2 = theoretischer Kopf-Ø, Kopf sitzt buendig</t>
  </si>
  <si>
    <t>k_m2_senk</t>
  </si>
  <si>
    <t>Kopfhoehe Senkschraube ISO 14581 M2</t>
  </si>
  <si>
    <t>d_m25_durch</t>
  </si>
  <si>
    <t>Durchgang M2.5</t>
  </si>
  <si>
    <t>d_m25_senk</t>
  </si>
  <si>
    <t>Senkdurchmesser an der Oberflaeche ISO 14581 M2.5 = theoretischer Kopf-Ø, Kopf sitzt buendig</t>
  </si>
  <si>
    <t>k_m25_senk</t>
  </si>
  <si>
    <t>Kopfhoehe Senkschraube ISO 14581 M2.5</t>
  </si>
  <si>
    <t>d_m2_kopf</t>
  </si>
  <si>
    <t>Kopfdurchmesser Zylinderschraube DIN 912 M2</t>
  </si>
  <si>
    <t>k_m2_kopf</t>
  </si>
  <si>
    <t>Kopfhoehe Zylinderschraube DIN 912 M2</t>
  </si>
  <si>
    <t>d_m3_kopf</t>
  </si>
  <si>
    <t>Kopfdurchmesser DIN 7984 M3, niedriger Kopf</t>
  </si>
  <si>
    <t>k_m3_kopf</t>
  </si>
  <si>
    <t>Kopfhoehe DIN 7984 M3</t>
  </si>
  <si>
    <t>h_mu</t>
  </si>
  <si>
    <t>Mutter M2.5 ISO 4032 am Kontaktbolzen, Hoehe</t>
  </si>
  <si>
    <t>t_ks</t>
  </si>
  <si>
    <t>Kabelschuh M2.5, Blechdicke</t>
  </si>
  <si>
    <t>d_ein_m2</t>
  </si>
  <si>
    <t>Bohrung fuer Gewindeeinsatz M2. Datenblatt Hersteller pruefen</t>
  </si>
  <si>
    <t>t_ein_m2</t>
  </si>
  <si>
    <t>Laenge Gewindeeinsatz M2 (1d)</t>
  </si>
  <si>
    <t>d_ein_m25</t>
  </si>
  <si>
    <t>Bohrung fuer Gewindeeinsatz M2.5. Datenblatt pruefen</t>
  </si>
  <si>
    <t>t_ein_m25</t>
  </si>
  <si>
    <t>Laenge Gewindeeinsatz M2.5 (2d), im Durchgangsloch. GEAENDERT v5: vorher 2,5</t>
  </si>
  <si>
    <t>zug_bohr</t>
  </si>
  <si>
    <t>Bohrtiefe = Einsatzlaenge plus diese Zugabe</t>
  </si>
  <si>
    <t>l_m2</t>
  </si>
  <si>
    <t>Laenge Senkschraube M2 Klemmring</t>
  </si>
  <si>
    <t>l_m25</t>
  </si>
  <si>
    <t>Laenge Senkschraube M2.5 Traeger. GEAENDERT v5: vorher 8</t>
  </si>
  <si>
    <t>l_m3</t>
  </si>
  <si>
    <t>Laenge DIN 7984 M3 Federschraube. GEAENDERT v5: vorher 8</t>
  </si>
  <si>
    <t>l_bef</t>
  </si>
  <si>
    <t>Laenge DIN 912 M2 Befestigung</t>
  </si>
  <si>
    <t>d_stift</t>
  </si>
  <si>
    <t>Passstift ISO 8734, Bohrungen H7</t>
  </si>
  <si>
    <t>d_tr_a</t>
  </si>
  <si>
    <t>Traeger aussen, Passung g6 zur Frontplatte</t>
  </si>
  <si>
    <t>Traeger</t>
  </si>
  <si>
    <t>d_tr_i</t>
  </si>
  <si>
    <t>Traeger innen, zentriert den Glasfuss. GEAENDERT v3d: vorher 63 fest</t>
  </si>
  <si>
    <t>h_tr_ueber</t>
  </si>
  <si>
    <t>Traeger ueber der Blendenoberseite. GEAENDERT v5: vorher 3,5, Platz fuer den M2-Einsatz</t>
  </si>
  <si>
    <t>sp_tasche</t>
  </si>
  <si>
    <t>Radialspiel der Blende in der Tasche</t>
  </si>
  <si>
    <t>sp_lasche</t>
  </si>
  <si>
    <t>Spiel der Lasche im Freistich, je Seite</t>
  </si>
  <si>
    <t>d_tr_bolzen</t>
  </si>
  <si>
    <t>Bohrung fuer den Kontaktbolzen M2.5</t>
  </si>
  <si>
    <t>h_tr</t>
  </si>
  <si>
    <t>Traegerhoehe gesamt</t>
  </si>
  <si>
    <t>d_tr_tasche</t>
  </si>
  <si>
    <t>Tasche fuer Blende und Klemmring</t>
  </si>
  <si>
    <t>t_tr_tasche</t>
  </si>
  <si>
    <t>Taschentiefe ab Unterseite</t>
  </si>
  <si>
    <t>b_tr_frei</t>
  </si>
  <si>
    <t>Freistich fuer die Lasche, Breite</t>
  </si>
  <si>
    <t>r_tr_frei</t>
  </si>
  <si>
    <t>Freistich reicht bis zu diesem RADIUS</t>
  </si>
  <si>
    <t>tb_ein_m2</t>
  </si>
  <si>
    <t>Bohrtiefe Einsatz M2 ab Taschenboden, FLACHER Bohrgrund (Schaftfraeser). GEAENDERT v5</t>
  </si>
  <si>
    <t>tb_ein_m25</t>
  </si>
  <si>
    <t>Einsatz M2.5: Durchgangsbohrung durch den ganzen Traeger. GEAENDERT v5</t>
  </si>
  <si>
    <t>d_st_i</t>
  </si>
  <si>
    <t>Stahlring innen = Dichtspalt am radialen O-Ring. GEAENDERT v3d: vorher 64 fest</t>
  </si>
  <si>
    <t>Stahlring</t>
  </si>
  <si>
    <t>d_st_a</t>
  </si>
  <si>
    <t>Stahlring aussen, wie Ring_unten, fuer die Abdeckbleche</t>
  </si>
  <si>
    <t>h_st</t>
  </si>
  <si>
    <t>Stahlringhoehe. Toleranz +/-0.05, planparallel 0.02</t>
  </si>
  <si>
    <t>z_nut_r</t>
  </si>
  <si>
    <t>Unterseite Stahlring bis untere Flanke der Radialnut</t>
  </si>
  <si>
    <t>b_nut_r</t>
  </si>
  <si>
    <t>Breite der Radialnut (axial)</t>
  </si>
  <si>
    <t>d_bef_durch</t>
  </si>
  <si>
    <t>Durchgang fuer M2 Befestigung</t>
  </si>
  <si>
    <t>d_st_huelse</t>
  </si>
  <si>
    <t>Bohrung fuer die Keramikhuelse</t>
  </si>
  <si>
    <t>t_m3_rad</t>
  </si>
  <si>
    <t>Sackloch-Gewindetiefe der radialen M3 fuer die Abdeckbleche</t>
  </si>
  <si>
    <t>d_nut_r</t>
  </si>
  <si>
    <t>Nutgrund der Radialnut, auf 0.1 gerundet</t>
  </si>
  <si>
    <t>z_m3_rad</t>
  </si>
  <si>
    <t>Hoehe der radialen M3 ab Unterseite</t>
  </si>
  <si>
    <t>d1_or_r</t>
  </si>
  <si>
    <t>Radialer O-Ring, Innendurchmesser, DIN 3771. Werkstoff FFKM (v5)</t>
  </si>
  <si>
    <t>O-Ring radial</t>
  </si>
  <si>
    <t>d2_or_r</t>
  </si>
  <si>
    <t>Radialer O-Ring, Schnurstaerke, DIN 3771</t>
  </si>
  <si>
    <t>s_or_r</t>
  </si>
  <si>
    <t>Soll-Verpressung radial. GEAENDERT v5: vorher 0,19, mehr Reserve fuer warm</t>
  </si>
  <si>
    <t>s_or_r_ist</t>
  </si>
  <si>
    <t>Ist-Verpressung nach Rundung des Nutgrunds</t>
  </si>
  <si>
    <t>d1_or_f</t>
  </si>
  <si>
    <t>Flach-O-Ring Fuge Stahl/Traeger, Innendurchmesser. Werkstoff FFKM (v5)</t>
  </si>
  <si>
    <t>O-Ring flach</t>
  </si>
  <si>
    <t>d2_or_f</t>
  </si>
  <si>
    <t>Flach-O-Ring, Schnurstaerke</t>
  </si>
  <si>
    <t>d_nut_f_i</t>
  </si>
  <si>
    <t>Flachnut innen, Ring sitzt leicht gedehnt</t>
  </si>
  <si>
    <t>b_nut_f</t>
  </si>
  <si>
    <t>Flachnut Breite (radial)</t>
  </si>
  <si>
    <t>t_nut_f</t>
  </si>
  <si>
    <t>Flachnut Tiefe</t>
  </si>
  <si>
    <t>d_nut_f_a</t>
  </si>
  <si>
    <t>Flachnut aussen</t>
  </si>
  <si>
    <t>d_go_a</t>
  </si>
  <si>
    <t>GFK-Ring oben, aussen</t>
  </si>
  <si>
    <t>GFK-Ring oben</t>
  </si>
  <si>
    <t>d_go_i</t>
  </si>
  <si>
    <t>GFK-Ring oben, innen. GEAENDERT v7: Spule passt hinein, vorher 53</t>
  </si>
  <si>
    <t>t_go</t>
  </si>
  <si>
    <t>GFK-Ring oben, Dicke</t>
  </si>
  <si>
    <t>d_go_senk</t>
  </si>
  <si>
    <t>Glassenkung unten, Durchmesser. GEAENDERT v7: zentriert den Ring auf dem Glasfuss, vorher 64</t>
  </si>
  <si>
    <t>h_go_senk</t>
  </si>
  <si>
    <t>Glassenkung unten, Tiefe. GEAENDERT v5: vorher 0,9, gleicht den hoeheren Traeger aus</t>
  </si>
  <si>
    <t>t_go_boden</t>
  </si>
  <si>
    <t>Restdicke unter den Federsenkungen</t>
  </si>
  <si>
    <t>d_go_fsenk</t>
  </si>
  <si>
    <t>Federsenkung, Durchmesser</t>
  </si>
  <si>
    <t>d_go_huelse</t>
  </si>
  <si>
    <t>Bohrung fuer Distanzhuelse</t>
  </si>
  <si>
    <t>d_go_bolzen</t>
  </si>
  <si>
    <t>Bohrung fuer Keramikhuelse am Kontakt</t>
  </si>
  <si>
    <t>sp_kopf</t>
  </si>
  <si>
    <t>Luft um den Befestigungskopf in der Randnut</t>
  </si>
  <si>
    <t>t_go_fsenk</t>
  </si>
  <si>
    <t>Federsenkung, Tiefe ab Oberseite</t>
  </si>
  <si>
    <t>b_go_nut</t>
  </si>
  <si>
    <t>Randnut fuer Befestigung, Breite</t>
  </si>
  <si>
    <t>r_go_nut</t>
  </si>
  <si>
    <t>Randnut beginnt bei diesem RADIUS und laeuft nach aussen offen</t>
  </si>
  <si>
    <t>d_dh_a</t>
  </si>
  <si>
    <t>Distanzhuelse aussen</t>
  </si>
  <si>
    <t>Federn</t>
  </si>
  <si>
    <t>d_dh_i</t>
  </si>
  <si>
    <t>Distanzhuelse innen</t>
  </si>
  <si>
    <t>d_fe_a</t>
  </si>
  <si>
    <t>Druckfeder aussen, hoechstens 7,8. Platzhalter bis zur Katalogwahl</t>
  </si>
  <si>
    <t>d_fe_i</t>
  </si>
  <si>
    <t>Druckfeder innen, mindestens 5,2 (Huelse Oe5). Platzhalter</t>
  </si>
  <si>
    <t>l_fe_0</t>
  </si>
  <si>
    <t>Druckfeder, ungespannte Laenge. GEAENDERT v5: vorher 4, Platzhalter</t>
  </si>
  <si>
    <t>l_fe_ein</t>
  </si>
  <si>
    <t>Druckfeder, Einbaulaenge. GEAENDERT v5: vorher 2,5, dort passte keine Feder mit nennenswerter Kraft</t>
  </si>
  <si>
    <t>d_sch</t>
  </si>
  <si>
    <t>Scheibe M3 aussen</t>
  </si>
  <si>
    <t>t_sch</t>
  </si>
  <si>
    <t>Scheibe M3 Dicke</t>
  </si>
  <si>
    <t>l_dh</t>
  </si>
  <si>
    <t>Laenge Distanzhuelse, folgt aus Luftspalt, Senkungsboden, Federscheibe und Feder</t>
  </si>
  <si>
    <t>d_kh_a</t>
  </si>
  <si>
    <t>Keramikhuelse Al2O3 aussen</t>
  </si>
  <si>
    <t>Kontakt</t>
  </si>
  <si>
    <t>d_kh_i</t>
  </si>
  <si>
    <t>Keramikhuelse innen</t>
  </si>
  <si>
    <t>ue_kh</t>
  </si>
  <si>
    <t>Ueberstand der Huelse ueber den GFK-Ring</t>
  </si>
  <si>
    <t>ue_kb</t>
  </si>
  <si>
    <t>Bolzenueberstand ueber der Kontermutter</t>
  </si>
  <si>
    <t>l_kh</t>
  </si>
  <si>
    <t>Laenge Keramikhuelse, steht auf dem Traeger</t>
  </si>
  <si>
    <t>l_kb</t>
  </si>
  <si>
    <t>Laenge Kontaktbolzen rechnerisch</t>
  </si>
  <si>
    <t>l_kb_best</t>
  </si>
  <si>
    <t>Kontaktbolzen, auf ganze mm aufgerundet</t>
  </si>
  <si>
    <t>sp_tr_pl</t>
  </si>
  <si>
    <t>Traeger ist so viel niedriger als das Plattenauge</t>
  </si>
  <si>
    <t>Frontplatte</t>
  </si>
  <si>
    <t>f_pl</t>
  </si>
  <si>
    <t>Fase an der Plattenbohrung, beidseitig</t>
  </si>
  <si>
    <t>d_pl_bohr</t>
  </si>
  <si>
    <t>Plattenbohrung, Passung H7</t>
  </si>
  <si>
    <t>h_pl</t>
  </si>
  <si>
    <t>Dicke des Plattenauges</t>
  </si>
  <si>
    <t>z_kr_unten</t>
  </si>
  <si>
    <t>Unterseite Klemmring. Bezug z=0 ist die Blendenunterseite</t>
  </si>
  <si>
    <t>Lage</t>
  </si>
  <si>
    <t>z_tr_oben</t>
  </si>
  <si>
    <t>Oberseite Traeger = Unterseite Stahlring = Plattenvorderseite</t>
  </si>
  <si>
    <t>z_st_oben</t>
  </si>
  <si>
    <t>Oberseite Stahlring</t>
  </si>
  <si>
    <t>z_glas_unten</t>
  </si>
  <si>
    <t>Glasboden steht auf der Blende</t>
  </si>
  <si>
    <t>z_go_unten</t>
  </si>
  <si>
    <t>Unterseite GFK-Ring oben</t>
  </si>
  <si>
    <t>sp_go_st</t>
  </si>
  <si>
    <t>Luft GFK-Ring oben zum Stahlring. Muss positiv bleiben</t>
  </si>
  <si>
    <t>z_go_oben</t>
  </si>
  <si>
    <t>Oberseite GFK-Ring oben</t>
  </si>
  <si>
    <t>z_nut_r_u</t>
  </si>
  <si>
    <t>Radialnut untere Flanke</t>
  </si>
  <si>
    <t>z_nut_r_o</t>
  </si>
  <si>
    <t>Radialnut obere Flanke</t>
  </si>
  <si>
    <t>z_pl_unten</t>
  </si>
  <si>
    <t>Rueckseite Frontplatte</t>
  </si>
  <si>
    <t>d_kb</t>
  </si>
  <si>
    <t>NEU v2: Kontaktbolzen und Laschengewinde, Nenndurchmesser M2.5</t>
  </si>
  <si>
    <t>w_rad</t>
  </si>
  <si>
    <t>NEU v3: erstes radiales M3 fuer die Abdeckbleche, 10 Grad neben einer M3-Federschraube</t>
  </si>
  <si>
    <t>dw_rad</t>
  </si>
  <si>
    <t>NEU v3: Winkel zwischen den zwei Gewinden eines Blechs, wie in Ring_unten</t>
  </si>
  <si>
    <t>n_bl</t>
  </si>
  <si>
    <t>NEU v3: Anzahl Abdeckbleche, Paare um 360/n_bl versetzt</t>
  </si>
  <si>
    <t>zug_gew</t>
  </si>
  <si>
    <t>NEU v3b: Bohrzugabe unter einem Sackloch-Gewinde, Bohrtiefe = Gewindetiefe + zug_gew</t>
  </si>
  <si>
    <t>tb_m3_rad</t>
  </si>
  <si>
    <t>NEU v3b: Bohrtiefe der radialen M3, ab Aussenflaeche</t>
  </si>
  <si>
    <t>sp_kerbe</t>
  </si>
  <si>
    <t>NEU v3c: Luft zwischen Kontaktbolzen und Blendenrand</t>
  </si>
  <si>
    <t>r_bl_kerbe</t>
  </si>
  <si>
    <t>NEU v3c: Radius der Kerbe am Blendenrand fuer den Kontaktbolzen, Mitte bei r_kontakt / w_kontakt</t>
  </si>
  <si>
    <t>sp_glas_tr</t>
  </si>
  <si>
    <t>NEU v3d: radiales Spiel Glasfuss im Traeger. Der Traeger zentriert das Glas</t>
  </si>
  <si>
    <t>sp_glas_st</t>
  </si>
  <si>
    <t>NEU v3d: radiales Spiel Glasfuss im Stahlring = Dichtspalt, muss groesser sein als sp_glas_tr</t>
  </si>
  <si>
    <t>d_ent_m</t>
  </si>
  <si>
    <t>NEU v4: Entlueftungsnut Stahlring-Unterseite, mittlerer Durchmesser. Zugleich Lochkreis der Entlueftungsbohrungen im Traeger</t>
  </si>
  <si>
    <t>Entlueftung</t>
  </si>
  <si>
    <t>b_ent</t>
  </si>
  <si>
    <t>NEU v4: Entlueftungsnut, radiale Breite</t>
  </si>
  <si>
    <t>d_ent_i</t>
  </si>
  <si>
    <t>NEU v4: Entlueftungsnut innen</t>
  </si>
  <si>
    <t>d_ent_a</t>
  </si>
  <si>
    <t>NEU v4: Entlueftungsnut aussen</t>
  </si>
  <si>
    <t>t_ent</t>
  </si>
  <si>
    <t>NEU v4: Tiefe von Entlueftungsnut und Stahl-Kerben</t>
  </si>
  <si>
    <t>b_ent_k</t>
  </si>
  <si>
    <t>Breite der Kerben Flachnut -&gt; Entlueftungsnut, Fraeser Oe1,5. GEAENDERT v5c: vorher 1,0</t>
  </si>
  <si>
    <t>r_ent_k1</t>
  </si>
  <si>
    <t>NEU v4: RADIUS innerer Mittelpunkt der Stahl-Kerbe, liegt in der Flachnut</t>
  </si>
  <si>
    <t>r_ent_k2</t>
  </si>
  <si>
    <t>NEU v4: RADIUS aeusserer Mittelpunkt der Stahl-Kerbe, liegt in der Entlueftungsnut</t>
  </si>
  <si>
    <t>w_ent</t>
  </si>
  <si>
    <t>NEU v4: Winkel der ersten Stahl-Kerbe und der ersten Entlueftungsbohrung im Traeger</t>
  </si>
  <si>
    <t>n_ent</t>
  </si>
  <si>
    <t>NEU v4: Anzahl Stahl-Kerben und Entlueftungsbohrungen</t>
  </si>
  <si>
    <t>d_ent_bohr</t>
  </si>
  <si>
    <t>NEU v4: Entlueftungsbohrung im Traeger, senkrecht durch, auf d_ent_m</t>
  </si>
  <si>
    <t>b_kr_kerbe</t>
  </si>
  <si>
    <t>Breite der Kerbe oben im Klemmring, Fraeser Oe1,5. GEAENDERT v5c: vorher 0,8</t>
  </si>
  <si>
    <t>t_kr_kerbe</t>
  </si>
  <si>
    <t>NEU v4: Tiefe der Klemmring-Kerbe</t>
  </si>
  <si>
    <t>r_kr_kerbe_a</t>
  </si>
  <si>
    <t>NEU v4: RADIUS, bis zu dem die Klemmring-Kerbe gezeichnet wird, 1 mm ueber den Aussenrand</t>
  </si>
  <si>
    <t>b_tr_kerbe</t>
  </si>
  <si>
    <t>Breite der Querkerbe oben im Traeger, Fraeser Oe1,5. GEAENDERT v5c: vorher 0,8</t>
  </si>
  <si>
    <t>t_tr_kerbe</t>
  </si>
  <si>
    <t>NEU v4: Tiefe der Traeger-Querkerbe</t>
  </si>
  <si>
    <t>l_tr_kerbe</t>
  </si>
  <si>
    <t>NEU v4: Laenge der Traeger-Querkerbe, quer zum Radius, 0,5 ueber den Huelsenfuss hinaus</t>
  </si>
  <si>
    <t>t_vers</t>
  </si>
  <si>
    <t>NEU v5: Gewindeeinsatz sitzt so tief unter der Oberflaeche</t>
  </si>
  <si>
    <t>n_ans</t>
  </si>
  <si>
    <t>NEU v5: Anschnitt HELICOIL-Gewindebohrer in Gewindegaengen</t>
  </si>
  <si>
    <t>p_m2</t>
  </si>
  <si>
    <t>NEU v5: Steigung M2</t>
  </si>
  <si>
    <t>p_m25</t>
  </si>
  <si>
    <t>NEU v5: Steigung M2.5</t>
  </si>
  <si>
    <t>zug_flach</t>
  </si>
  <si>
    <t>NEU v5: Reserve unter dem Gewindebohrer bei flachem Bohrgrund</t>
  </si>
  <si>
    <t>d_sti_m2</t>
  </si>
  <si>
    <t>NEU v5: Aussendurchmesser des Einsatzgewindes M2 (HELICOIL, DHC)</t>
  </si>
  <si>
    <t>d_sti_m25</t>
  </si>
  <si>
    <t>NEU v5: Aussendurchmesser des Einsatzgewindes M2.5 (HELICOIL, DHC)</t>
  </si>
  <si>
    <t>t_sch_u</t>
  </si>
  <si>
    <t>NEU v5: Federscheibe unter der Feder, Dicke, 1.4301, Sonderteil</t>
  </si>
  <si>
    <t>d_sch_u_a</t>
  </si>
  <si>
    <t>NEU v5: Federscheibe aussen, passt in die Senkung d_go_fsenk</t>
  </si>
  <si>
    <t>d_sch_u_i</t>
  </si>
  <si>
    <t>NEU v5: Federscheibe innen, ueber die Distanzhuelse</t>
  </si>
  <si>
    <t>l_fe_block</t>
  </si>
  <si>
    <t>NEU v5: Blocklaenge der Feder, Katalogwert eintragen</t>
  </si>
  <si>
    <t>alpha_or</t>
  </si>
  <si>
    <t>1/K</t>
  </si>
  <si>
    <t>NEU v5: linearer Waermeausdehnungskoeffizient FFKM, Datenblatt pruefen</t>
  </si>
  <si>
    <t>dT_or</t>
  </si>
  <si>
    <t>K</t>
  </si>
  <si>
    <t>NEU v5: Temperaturhub am O-Ring fuer die Warmpruefung, 20 auf 300 Grad C</t>
  </si>
  <si>
    <t>r_ent_rad</t>
  </si>
  <si>
    <t>NEU v5: RADIUS der Entlueftungsbohrung unter jedem radialen M3, von unten aus der Entlueftungsnut</t>
  </si>
  <si>
    <t>tb_ent_rad</t>
  </si>
  <si>
    <t>NEU v5: Tiefe dieser Bohrung ab Unterseite, trifft das Ende der radialen Bohrung</t>
  </si>
  <si>
    <t>d_glas_kehle</t>
  </si>
  <si>
    <t>NEU v5b: ab diesem Durchmesser ist die Fussoberseite eben, innen R1-Hohlkehle zum Hals. Aus STEP</t>
  </si>
  <si>
    <t>f_go_i</t>
  </si>
  <si>
    <t>Fase 45 Grad innen unten an der Lippe, raeumt die R1-Hohlkehle des Glases. GEAENDERT v9: vorher 0,1</t>
  </si>
  <si>
    <t>r_fr</t>
  </si>
  <si>
    <t>NEU v5b: Eckenradius Freistich im Traeger (Fraeser Oe2) und Laschenecken am Klemmring</t>
  </si>
  <si>
    <t>f_tr_frei</t>
  </si>
  <si>
    <t>Fase an den Eingangskanten des Freistichs, Platz fuer die Rundung am Laschenfuss. GEAENDERT v5d: vorher 0,5</t>
  </si>
  <si>
    <t>r_kr_fuss</t>
  </si>
  <si>
    <t>Innenradius am Laschenfuss, Fraeser Oe2. GEAENDERT v5d: Klemmring wird gefraest</t>
  </si>
  <si>
    <t>t_ab</t>
  </si>
  <si>
    <t>NEU v6: Abdeckblech, Dicke. Aluminium EN AW-5754, wie bisher</t>
  </si>
  <si>
    <t>Abdeckblech</t>
  </si>
  <si>
    <t>d_ab_i</t>
  </si>
  <si>
    <t>NEU v6: Abdeckblech innen = Edelstahlring aussen, wie bisher am Ring_unten</t>
  </si>
  <si>
    <t>d_ab_a</t>
  </si>
  <si>
    <t>NEU v6: Abdeckblech aussen</t>
  </si>
  <si>
    <t>z_ab_o</t>
  </si>
  <si>
    <t>NEU v6: Oberkante der Bleche ab Blendenunterseite, gleiche Lage zum Glas wie in Aufhaengung_RFN.stp. Deckel, Gasschlauch und Spulenanschluss bleiben, wo sie waren</t>
  </si>
  <si>
    <t>h_ab</t>
  </si>
  <si>
    <t>NEU v6: Blechhoehe, steht auf der Frontplatte. Vorher 90,0</t>
  </si>
  <si>
    <t>w_ab_spalt</t>
  </si>
  <si>
    <t>NEU v6: Fuge zwischen zwei Blechen, wie bisher. 0,77 mm bei r 44</t>
  </si>
  <si>
    <t>w_ab</t>
  </si>
  <si>
    <t>NEU v6: Bogenwinkel eines Blechs</t>
  </si>
  <si>
    <t>w_ab_mitte</t>
  </si>
  <si>
    <t>NEU v6: Mitte des ersten Blechs. Die Fugen liegen mittig zwischen den Gewindepaaren</t>
  </si>
  <si>
    <t>w_ab_loch</t>
  </si>
  <si>
    <t>NEU v6: Bohrungen liegen um diesen Winkel links und rechts der Blechmitte</t>
  </si>
  <si>
    <t>d_ab_loch</t>
  </si>
  <si>
    <t>NEU v6: Durchgang M3 im Blech, ohne Plansenkung</t>
  </si>
  <si>
    <t>a_ab_o</t>
  </si>
  <si>
    <t>NEU v6: obere Bohrungen, Mitte bis Oberkante, wie bisher</t>
  </si>
  <si>
    <t>l_ab_abw</t>
  </si>
  <si>
    <t>NEU v6: Zuschnittlaenge, falls gerollt. Neutrale Faser in Blechmitte</t>
  </si>
  <si>
    <t>s_ab_loch</t>
  </si>
  <si>
    <t>NEU v6: im Zuschnitt Abstand Bohrung zur Blechmitte</t>
  </si>
  <si>
    <t>l_rad</t>
  </si>
  <si>
    <t>NEU v6: ISO 4762 M3 x 5, versilbert, mit Scheibe ISO 7089, 12 Stueck. Vorher M3 x 6 ohne Scheibe, zu lang fuer das 4-mm-Sackgewinde</t>
  </si>
  <si>
    <t>h_dk_zapfen</t>
  </si>
  <si>
    <t>NEU v6: Deckelzapfen, steckt in den Blechen, wie bisher</t>
  </si>
  <si>
    <t>Deckel</t>
  </si>
  <si>
    <t>h_dk</t>
  </si>
  <si>
    <t>NEU v6: Deckel ueber der Blechoberkante, wie bisher</t>
  </si>
  <si>
    <t>t_dk</t>
  </si>
  <si>
    <t>NEU v6: Deckelboden, wie bisher</t>
  </si>
  <si>
    <t>d_dk_i</t>
  </si>
  <si>
    <t>NEU v6: Innenbohrung, wie bisher</t>
  </si>
  <si>
    <t>z_dk_u</t>
  </si>
  <si>
    <t>NEU v6: Unterseite Deckelzapfen ab Blendenunterseite</t>
  </si>
  <si>
    <t>d_dk_lk</t>
  </si>
  <si>
    <t>NEU v6: Lochkreis der vier Durchfuehrungen. Vorher 60, dort stand der Flansch der N-Buchse 1 mm in der Wand</t>
  </si>
  <si>
    <t>w_dk_gas</t>
  </si>
  <si>
    <t>NEU v6: Gasanschluss. Dann je +90: SHV 125, SHV 215, N 305, wie bisher</t>
  </si>
  <si>
    <t>d_dk_gas</t>
  </si>
  <si>
    <t>NEU v6: Swagelok SS-200-61, Schottverschraubung 1/8 Zoll, Bohrung laut Katalog 21/64 Zoll = 8,33</t>
  </si>
  <si>
    <t>d_dk_shv</t>
  </si>
  <si>
    <t>NEU v6: SHV Pasternack PE4239, Gewinde 3/8-32 = Oe9,53</t>
  </si>
  <si>
    <t>a_dk_shv</t>
  </si>
  <si>
    <t>NEU v6: SHV-Abflachung, Abstand von der Lochmitte. Am Stecker 3,97</t>
  </si>
  <si>
    <t>d_dk_n</t>
  </si>
  <si>
    <t>NEU v6: N-Buchse, Gewinde 5/8-24 = Oe15,88</t>
  </si>
  <si>
    <t>s_dk_n</t>
  </si>
  <si>
    <t>NEU v6: N-Buchse, Doppel-D, Abstand der Flaechen. Am Stecker 13,5</t>
  </si>
  <si>
    <t>r_n_fl</t>
  </si>
  <si>
    <t>NEU v6: N-Buchse, Flansch innen unter dem Deckel, Radius. Aus dem STEP</t>
  </si>
  <si>
    <t>r_sw_mu</t>
  </si>
  <si>
    <t>NEU v6: Swagelok, halbes Eckmass Sechskant 1/2 Zoll</t>
  </si>
  <si>
    <t>d_ks</t>
  </si>
  <si>
    <t>NEU v6: Kabelschuh M2,5 am Kontaktbolzen, Ring aussen. Fuer den HV-Abstand zum Blech</t>
  </si>
  <si>
    <t>d_spule_a</t>
  </si>
  <si>
    <t>Spule aussen. GEAENDERT v8: Formel aus Drahtmitte und Draht</t>
  </si>
  <si>
    <t>Spule</t>
  </si>
  <si>
    <t>d_draht</t>
  </si>
  <si>
    <t>NEU v7: Spulendraht Kupfer</t>
  </si>
  <si>
    <t>z_spule_u</t>
  </si>
  <si>
    <t>Unterkante unterste Windung. GEAENDERT v8: folgt aus den Spulenstaeben, Spule liegt im Gewindeauslauf. Vorher 11,1</t>
  </si>
  <si>
    <t>sp_spule</t>
  </si>
  <si>
    <t>NEU v7: radiale Luft Spule zur GFK-Bohrung kalt. Warm waechst die Spule um 0,14, der Ring um 0,06</t>
  </si>
  <si>
    <t>sp_go_zent</t>
  </si>
  <si>
    <t>NEU v7: radiales Spiel der Glassenkung auf dem Glasfuss, zentriert den GFK-Ring</t>
  </si>
  <si>
    <t>w_go_spule</t>
  </si>
  <si>
    <t>NEU v7: Anschlussnut fuer das untere Spulenende. Lage frei, nach der realen Spule</t>
  </si>
  <si>
    <t>b_go_spule</t>
  </si>
  <si>
    <t>NEU v7: Anschlussnut Breite, Fraeser Oe4</t>
  </si>
  <si>
    <t>r_go_spule_a</t>
  </si>
  <si>
    <t>NEU v7: Anschlussnut reicht bis zu diesem RADIUS, Draht liegt aussen neben der Spule</t>
  </si>
  <si>
    <t>r_spule_m</t>
  </si>
  <si>
    <t>NEU v8: Drahtmitte der Spule, RADIUS. Wie im COMSOL-Modell</t>
  </si>
  <si>
    <t>n_spule</t>
  </si>
  <si>
    <t>NEU v8: Windungen. Wie COMSOL. Die alte Spule laut Halter: etwa 7 bei Steigung 4,29</t>
  </si>
  <si>
    <t>p_spule</t>
  </si>
  <si>
    <t>NEU v8: Steigung, rechtsgaengig. Luecke zwischen den Windungen = p_spule - d_draht</t>
  </si>
  <si>
    <t>l_draht</t>
  </si>
  <si>
    <t>NEU v8: Drahtlaenge der Wendel ohne Anschluesse</t>
  </si>
  <si>
    <t>d_glas_hals</t>
  </si>
  <si>
    <t>NEU v8: Glas aussen am geraden Hals (r 26,1). AM TEIL MESSEN, die Staebe sitzen darauf</t>
  </si>
  <si>
    <t>sp_stab</t>
  </si>
  <si>
    <t>NEU v8: radiales Spiel Staebe auf dem Glas</t>
  </si>
  <si>
    <t>Spulenstaebe</t>
  </si>
  <si>
    <t>d_stab_i</t>
  </si>
  <si>
    <t>NEU v8: Rohr innen, aus dem die vier Staebe entstehen</t>
  </si>
  <si>
    <t>ue_stab</t>
  </si>
  <si>
    <t>NEU v8: Stab steht so weit ueber der Drahtmitte, der Draht liegt 2,1 von 3 mm tief in der Nut</t>
  </si>
  <si>
    <t>d_stab_a</t>
  </si>
  <si>
    <t>NEU v8: Rohr aussen</t>
  </si>
  <si>
    <t>b_nut_spule</t>
  </si>
  <si>
    <t>NEU v8: Wendelnut Breite (axial)</t>
  </si>
  <si>
    <t>d_nut_spule</t>
  </si>
  <si>
    <t>NEU v8: Wendelnut Grund = Draht innen, die Spule liegt satt auf</t>
  </si>
  <si>
    <t>t_stab_boden</t>
  </si>
  <si>
    <t>Auslauf der Wendelnut ueber dem unteren Stabende. GEAENDERT v9: vorher 1,5</t>
  </si>
  <si>
    <t>f_stab</t>
  </si>
  <si>
    <t>Fase innen unten. GEAENDERT v9: nur entgraten, die Staebe stehen jetzt ueber der Hohlkehle. Vorher 1,2</t>
  </si>
  <si>
    <t>z_stab_u</t>
  </si>
  <si>
    <t>Staebe stehen auf der Lippe des GFK-Rings. GEAENDERT v9: vorher direkt auf dem Glasfuss</t>
  </si>
  <si>
    <t>l_stab</t>
  </si>
  <si>
    <t>NEU v8: Stablaenge, 1 mm ueber der obersten Windung</t>
  </si>
  <si>
    <t>n_stab</t>
  </si>
  <si>
    <t>NEU v8: Anzahl Staebe</t>
  </si>
  <si>
    <t>b_stab</t>
  </si>
  <si>
    <t>NEU v8: Stabbreite (tangential)</t>
  </si>
  <si>
    <t>w_stab</t>
  </si>
  <si>
    <t>Lage des ersten Stabs in der Baugruppe, die anderen je 360/n_stab weiter. GEAENDERT v8b: 18 Grad neben den Anschluessen, vorher 0</t>
  </si>
  <si>
    <t>w_spule_ende</t>
  </si>
  <si>
    <t>NEU v8b: Winkel des oberen Spulenendes</t>
  </si>
  <si>
    <t>r_anschl_u</t>
  </si>
  <si>
    <t>NEU v8b: unterer Anschluss laeuft auf diesem RADIUS (Drahtmitte) aussen an der Spule nach oben</t>
  </si>
  <si>
    <t>l_anschl</t>
  </si>
  <si>
    <t>NEU v8b: beide Anschluesse enden so weit ueber der obersten Windung, nebeneinander</t>
  </si>
  <si>
    <t>w_stab_rel</t>
  </si>
  <si>
    <t>NEU v8b: Drehung des Stab-Kreuzes in der Skizze, bezogen auf den Nutanfang bei +X</t>
  </si>
  <si>
    <t>d_go_lippe</t>
  </si>
  <si>
    <t>NEU v9: Lippe innen. Der GFK-Ring drueckt wieder fast auf die ganze Fussoberseite</t>
  </si>
  <si>
    <t>t_go_lippe</t>
  </si>
  <si>
    <t>NEU v9: Lippe Dicke ueber der Fussoberseite. Darauf stehen die Spulenstaebe, darueber die unterste Windung</t>
  </si>
  <si>
    <t>t_go_spule_nut</t>
  </si>
  <si>
    <t>NEU v9c: Tiefe der Anschlussnut von der Oberseite. Nutgrund buendig mit der Lippenoberseite, die Lippe bleibt geschlossen</t>
  </si>
  <si>
    <t>Inventor-Anleitung: jedes Teil Schritt für Schritt, jede Größe als Parameter</t>
  </si>
  <si>
    <t>Nr</t>
  </si>
  <si>
    <t>Befehl / Ort</t>
  </si>
  <si>
    <t>Was</t>
  </si>
  <si>
    <t>Parameter / Ausdruck</t>
  </si>
  <si>
    <t>Vorbereitung, gilt für jedes Bauteil</t>
  </si>
  <si>
    <t>Neu &gt; Norm (mm).ipt</t>
  </si>
  <si>
    <t>Neues Bauteil anlegen.</t>
  </si>
  <si>
    <t>Verwalten &gt; Parameter &gt; Verknüpfen</t>
  </si>
  <si>
    <t>RFN_Aufnahme_Parameter.xlsx wählen, Startzelle A2, Verknüpfen (nicht Einbetten). In jedem Bauteil und auch in der Baugruppe.</t>
  </si>
  <si>
    <t>Startzelle A2</t>
  </si>
  <si>
    <t>Bemaßung eintragen</t>
  </si>
  <si>
    <t>In jedes Maßfeld den Parameternamen oder einen Ausdruck tippen statt einer Zahl. Inventor zeigt danach fx: vor dem Maß. Steht irgendwo noch eine reine Zahl, ist das ein Fehler.</t>
  </si>
  <si>
    <t>z. B. d_tr_a   oder   d_lk_bef/2 - d_m2_kopf/2</t>
  </si>
  <si>
    <t>Drehteile</t>
  </si>
  <si>
    <t>Skizze auf der XY-Ebene. Die Y-Achse ist die Neutralisatorachse, X ist der Radius. Unterseite des Bauteils liegt auf der X-Achse (Y = 0). Unterseite heißt: zur Blende und zum Austritt hin. Beim GFK-Ring oben ist es die Seite zum Glasfuß.</t>
  </si>
  <si>
    <t>Mittellinie</t>
  </si>
  <si>
    <t>Eine Linie auf die Y-Achse legen und im Format-Menü als Mittellinie setzen. Bemaßt man eine Kante gegen die Mittellinie, macht Inventor daraus einen Durchmesser. So lassen sich alle d_-Parameter direkt eintragen, ohne /2.</t>
  </si>
  <si>
    <t>Mittellinie = Drehachse</t>
  </si>
  <si>
    <t>Skizze auf der Fläche, X-Achse des Bauteils projizieren (Geometrie projizieren &gt; Ursprung). Konstruktionskreis mit dem Lochkreis-Durchmesser um den Ursprung, ein Punkt auf dem Kreis, Konstruktionslinie vom Ursprung zum Punkt, Winkel zur projizierten X-Achse bemaßen. Bohrung auf den Punkt, danach Runde Anordnung um die Y-Achse über 360°.</t>
  </si>
  <si>
    <t>Kreis d_lk_…   Winkel w_…   Anzahl n_…   Winkel gesamt 360 deg</t>
  </si>
  <si>
    <t>Winkelsinn</t>
  </si>
  <si>
    <t>Alle Winkel von der +X-Achse aus, positiv um die +Y-Achse (Daumen der rechten Hand zeigt zum Glas). Eine Winkelbemaßung in Inventor hat KEIN Vorzeichen: 20° oberhalb und 20° unterhalb der X-Achse sehen gleich aus. Deshalb vor dem Bemaßen auf das Achsenkreuz unten links schauen: Für Winkel zwischen 0° und 180° muss der Punkt auf der Seite liegen, in die Z NICHT zeigt (negatives Z), für 180° bis 360° auf der Seite, in die Z zeigt. Und die Linie muss vom Ursprung aus zur +X-Seite gemessen werden, nicht zur −X-Seite. Kontrolle im fertigen Teil: Ansicht so drehen, dass im Achsenkreuz Y auf dich zeigt und X nach rechts; dann laufen alle Winkel gegen den Uhrzeigersinn, 20° liegt rechts oben. Skizzen auf Unterseiten sind gespiegelt. Nach dem ersten Lochkreis prüfen, dass die Kontaktbohrung (w_kontakt) bei allen Teilen an derselben Stelle liegt. WICHTIG: Lochkreise und Winkel nur auf Ebenen oder Flächen skizzieren, deren Normale nach +Y zeigt (zum Glas), also XZ-Ebene oder Oberseiten. Auf einer Fläche, die nach -Y zeigt (Unterseite, Taschenboden), schaut man von hinten auf die Skizze und alle Winkel werden gespiegelt. Für solche Stellen eine Arbeitsebene parallel zur XZ-Ebene in der passenden Höhe anlegen. Inventor bemaßt Winkel zwischen zwei Linien nur bis 180°. Liegt ein Element über 180°, die Linie in die linke Hälfte zeichnen und Winkel minus 180 eintragen.</t>
  </si>
  <si>
    <t>w_kontakt als Kontrolle</t>
  </si>
  <si>
    <t>Gewindeeinsätze</t>
  </si>
  <si>
    <t>Als einfache Bohrung mit Einsatz-Bohrdurchmesser und Bohrtiefe. Das Gewinde nicht modellieren, in der Zeichnung als Gewindeeinsatz vermerken.</t>
  </si>
  <si>
    <t>d_ein_m2 / tb_ein_m2   d_ein_m25 / tb_ein_m25</t>
  </si>
  <si>
    <t>Senkungen</t>
  </si>
  <si>
    <t>Bohrungsbefehl, Typ Senkung. Bohrdurchmesser, Senkdurchmesser und Senkwinkel aus der Tabelle.</t>
  </si>
  <si>
    <t>d_m2_durch, d_m2_senk, w_senk   bzw.   d_m25_durch, d_m25_senk, w_senk</t>
  </si>
  <si>
    <t>Molybdän, Extrusion. Y = 0 ist die Austrittsseite.</t>
  </si>
  <si>
    <t>Skizze auf XZ-Ebene</t>
  </si>
  <si>
    <t>Kreis um den Ursprung.</t>
  </si>
  <si>
    <t>Ø d_bl</t>
  </si>
  <si>
    <t>Extrusion</t>
  </si>
  <si>
    <t>Abstand in +Y.</t>
  </si>
  <si>
    <t>Skizze auf der Oberseite</t>
  </si>
  <si>
    <t>Lochkreis wie in Vorbereitung Schritt 6.</t>
  </si>
  <si>
    <t>Kreis d_lk_m2, Winkel w_m2</t>
  </si>
  <si>
    <t>Bohrung</t>
  </si>
  <si>
    <t>Einfache Bohrung, durch alle.</t>
  </si>
  <si>
    <t>Ø d_bl_klemm</t>
  </si>
  <si>
    <t>Runde Anordnung</t>
  </si>
  <si>
    <t>Bohrung aus Schritt 4.</t>
  </si>
  <si>
    <t>n_m2, 360 deg</t>
  </si>
  <si>
    <t>Bohrung im Ursprung</t>
  </si>
  <si>
    <t>Öffnung der Standardblende, durch alle. Für andere Lochbilder statt dessen eine eigene Skizze innerhalb eines Konstruktionskreises d_bl_feld. Neue Maße dafür als Parameter unten an die Tabelle anhängen.</t>
  </si>
  <si>
    <t>Ø d_bl_loch, Lochfeld höchstens Ø d_bl_feld</t>
  </si>
  <si>
    <t>Kerbe für den Kontaktbolzen</t>
  </si>
  <si>
    <t>Skizze auf der Oberseite: Konstruktionslinie Winkel w_kontakt, Länge r_kontakt, Kreis um das Linienende. Extrusion Differenz, durch alle. Jede Blendenvariante braucht diese Kerbe.</t>
  </si>
  <si>
    <t>Kreis Ø 2*r_bl_kerbe</t>
  </si>
  <si>
    <t>Tipp</t>
  </si>
  <si>
    <t>Für mehrere Blendenvarianten lohnt ein iPart: gleiche Kontur und Kerbe, nur das Lochbild wechselt.</t>
  </si>
  <si>
    <t>Edelstahl. Ring und Lasche in ZWEI Skizzen und zwei Extrusionen. Y = 0 ist die Austrittsseite.</t>
  </si>
  <si>
    <t>Skizze 1 auf XZ-Ebene</t>
  </si>
  <si>
    <t>Zwei Kreise um den Ursprung. Skizze beenden.</t>
  </si>
  <si>
    <t>Ø d_kr_a, Ø d_kr_i</t>
  </si>
  <si>
    <t>Ringfläche, Richtung +Y. Damit ist der Ring fertig.</t>
  </si>
  <si>
    <t>Skizze 2 auf XZ-Ebene</t>
  </si>
  <si>
    <t>Im Browser unter Ursprung: Mittelpunkt und X-Achse mit Rechtsklick &gt; Geometrie projizieren. Ohne projizierte X-Achse lässt sich der Winkel nicht bemaßen.</t>
  </si>
  <si>
    <t>Konstruktionslinie</t>
  </si>
  <si>
    <t>Linie, erster Klick genau auf den Ursprung (gelber Punkt), zweiter Klick schräg nach außen. Format &gt; Konstruktion. Bemaßen: erst X-Achse, dann Linie anklicken = Winkel. Dann die Linie allein anklicken = Länge.</t>
  </si>
  <si>
    <t>Winkel w_kontakt, Länge r_kr_lasche</t>
  </si>
  <si>
    <t>Rechteck, drei Punkte</t>
  </si>
  <si>
    <t>Grob entlang der Konstruktionslinie in der Nähe ihres Endes aufziehen. Lage egal, die kommt aus den Abhängigkeiten.</t>
  </si>
  <si>
    <t>Abhängigkeit Symmetrisch</t>
  </si>
  <si>
    <t>Eine lange Seite, andere lange Seite, dann die Konstruktionslinie als Symmetrielinie. Rechteck liegt mittig und parallel zur Linie.</t>
  </si>
  <si>
    <t>Abhängigkeit Koinzident</t>
  </si>
  <si>
    <t>Erst den Endpunkt der Konstruktionslinie, dann die äußere kurze Seite.</t>
  </si>
  <si>
    <t>Bemaßungen</t>
  </si>
  <si>
    <t>Abstand der beiden langen Seiten. Dann Ursprungspunkt und innere kurze Seite anklicken = senkrechter Abstand. Die innere Kante liegt im Ringmaterial und verschwindet beim Vereinigen.</t>
  </si>
  <si>
    <t>b_kr_lasche   und   d_lk_m2/2</t>
  </si>
  <si>
    <t>Skizzenpunkt</t>
  </si>
  <si>
    <t>Punkt auf die Konstruktionslinie setzen (rastet ein), Abstand vom Ursprung bemaßen. Statusleiste muss jetzt Vollständig bestimmt zeigen, sonst fehlt meist Schritt 7.</t>
  </si>
  <si>
    <t>Extrusion, Vereinigung</t>
  </si>
  <si>
    <t>Nur das Rechteck als Profil, Richtung +Y.</t>
  </si>
  <si>
    <t>Skizze 2 freigeben</t>
  </si>
  <si>
    <t>Browser: Rechtsklick auf Skizze 2 &gt; Skizze freigeben, damit der Punkt für die Bohrung nutzbar bleibt.</t>
  </si>
  <si>
    <t>Bohrung, Gewinde</t>
  </si>
  <si>
    <t>Platzierung Aus Skizze, Punkt aus Schritt 9, ISO-Gewinde M2,5, durch alle. Danach Skizze 2 ausblenden.</t>
  </si>
  <si>
    <t>M2,5x0,45 (Nenndurchmesser d_kb)</t>
  </si>
  <si>
    <t>Skizze 3 für den Schlitz</t>
  </si>
  <si>
    <t>Wie Schritte 3 bis 8, aber die Konstruktionslinie vom Ursprung nach LINKS zeichnen, in die Gegenrichtung der Lasche. Inventor bemaßt Winkel nur bis 180°, deshalb nicht w_schlitz eintragen, sondern den Winkel zwischen X-Achse und Linie mit w_schlitz - 180. Kontrolle: Schlitz und Lasche liegen sich genau gegenüber. Rechteck symmetrisch, innen und außen eine Schlitzbreite über den Ring.</t>
  </si>
  <si>
    <t>Winkel w_schlitz - 180 (Linie links), Breite b_kr_schlitz, innere Seite d_kr_i/2 - b_kr_schlitz, äußere Seite d_kr_a/2 + b_kr_schlitz</t>
  </si>
  <si>
    <t>Extrusion, Differenz</t>
  </si>
  <si>
    <t>Durch alle.</t>
  </si>
  <si>
    <t>Skizze auf der XZ-Ebene</t>
  </si>
  <si>
    <t>Die XZ-Ebene liegt genau auf der Unterseite (Y = 0). NICHT auf die Unterseitenfläche selbst skizzieren, sonst wird der Lochkreis gespiegelt. Lochkreis wie Vorbereitung 6. Kontrolle: die erste M2 liegt 30° neben der Lasche, auf der dem Schlitz abgewandten Seite.</t>
  </si>
  <si>
    <t>Bohrung, Senkung</t>
  </si>
  <si>
    <t>Aus Skizze, Senkung an der Skizzenebene (Y = 0), Bohrrichtung +Y, durch alle. Zeigt die Vorschau in die Luft, Richtung umkehren.</t>
  </si>
  <si>
    <t>d_m2_durch, d_m2_senk, w_senk</t>
  </si>
  <si>
    <t>Senkbohrung aus Schritt 16.</t>
  </si>
  <si>
    <t>NEU v4: Skizze auf der Oberseite</t>
  </si>
  <si>
    <t>Entlüftungskerben. Die Oberseite liegt an der Blende und zeigt nach +Y, hier wird nichts gespiegelt. Im Browser unter Ursprung Mittelpunkt und X-Achse projizieren. Konstruktionslinie vom Ursprung schräg nach außen, Winkel zur X-Achse und Länge bemaßen. Das Linienende liegt 1 mm außerhalb des Rings.</t>
  </si>
  <si>
    <t>Winkel w_m2, Länge r_kr_kerbe_a</t>
  </si>
  <si>
    <t>Wie bei der Lasche: grob entlang der Linie aufziehen, Symmetrisch zur Konstruktionslinie, äußere kurze Seite Koinzident mit dem Linienende. Innere kurze Seite: senkrechten Abstand zum Ursprung bemaßen. Sie liegt dann genau in der Mitte der M2-Bohrung.</t>
  </si>
  <si>
    <t>Breite b_kr_kerbe, innere Seite d_lk_m2/2</t>
  </si>
  <si>
    <t>Nur das Rechteck als Profil. Richtung −Y ins Material. Zeigt die Vorschau in die Luft, Richtung umkehren.</t>
  </si>
  <si>
    <t>Abstand t_kr_kerbe</t>
  </si>
  <si>
    <t>Die Kerbe aus Schritt 20, um die Y-Achse.</t>
  </si>
  <si>
    <t>Kontrolle</t>
  </si>
  <si>
    <t>Von oben schauen: jede M2-Bohrung hat eine Kerbe, die gerade nach außen zum Rand läuft. Lasche und Schlitz haben keine.</t>
  </si>
  <si>
    <t>NEU v5b: Rundung Laschenecken</t>
  </si>
  <si>
    <t>Ändern &gt; Rundung, die beiden senkrechten Kanten außen an der Lasche (bei r_kr_lasche). Damit passt die Lasche in den gerundeten Freistich des Trägers.</t>
  </si>
  <si>
    <t>Radius r_fr</t>
  </si>
  <si>
    <t>NEU v5d: Rundung Laschenfuß</t>
  </si>
  <si>
    <t>Ändern &gt; Rundung. Die beiden senkrechten Innenkanten, an denen die Seiten der Lasche in den Außenrand des Rings übergehen. Ein Fräser kann dort keine scharfe Innenecke machen.</t>
  </si>
  <si>
    <t>Radius r_kr_fuss</t>
  </si>
  <si>
    <t>Träger</t>
  </si>
  <si>
    <t>GFK, Drehung. Y = 0 ist die Unterseite, bündig mit dem Klemmring.</t>
  </si>
  <si>
    <t>Skizze auf XY-Ebene</t>
  </si>
  <si>
    <t>Mittellinie auf die Y-Achse.</t>
  </si>
  <si>
    <t>Profil zeichnen</t>
  </si>
  <si>
    <t>Geschlossener Linienzug A bis F, Durchmesser gegen die Mittellinie, Höhen ab X-Achse. t_tr_tasche wird von der Unterkante A–B bis zur kurzen Kante E–F bemaßt, NICHT von oben. Kontrolle: Taschenboden bei Y = 2,0:
A (d_tr_tasche | 0)
B (d_tr_a | 0)
C (d_tr_a | h_tr)
D (d_tr_i | h_tr)
E (d_tr_i | t_tr_tasche)
F (d_tr_tasche | t_tr_tasche)</t>
  </si>
  <si>
    <t>d_tr_a, d_tr_i, d_tr_tasche, h_tr, t_tr_tasche</t>
  </si>
  <si>
    <t>Drehung</t>
  </si>
  <si>
    <t>360° um die Mittellinie.</t>
  </si>
  <si>
    <t>Liegt auf der Unterseite (Y = 0), nicht auf die Fläche selbst skizzieren. Freistich für die Lasche. Konstruktionslinie unter Winkel, Rechteck symmetrisch dazu. Innere Kante liegt in der Tasche, äußere beim Freistichradius.</t>
  </si>
  <si>
    <t>Winkel w_kontakt, Breite b_tr_frei, innere Kante d_lk_m2/2, äußere Kante r_tr_frei</t>
  </si>
  <si>
    <t>In +Y schneiden.</t>
  </si>
  <si>
    <t>Abstand t_kr</t>
  </si>
  <si>
    <t>Arbeitsebene + Skizze</t>
  </si>
  <si>
    <t>Arbeitsebene parallel zur XZ-Ebene im Abstand t_tr_tasche anlegen (Ebene &gt; Versetzt von Ebene). Der Taschenboden selbst zeigt nach -Y und würde den Lochkreis spiegeln. Auf der Arbeitsebene den Lochkreis skizzieren.</t>
  </si>
  <si>
    <t>Abstand t_tr_tasche, Kreis d_lk_m2, Winkel w_m2</t>
  </si>
  <si>
    <t>Einfache Bohrung für den Gewindeeinsatz M2, in +Y. GEÄNDERT v5: Bohrspitze auf FLACH stellen (im Bohrungsdialog unter Bohrspitze), gefertigt mit Schaftfräser. Mit 118°-Spitze bliebe kein GFK über dem Einsatz.</t>
  </si>
  <si>
    <t>Ø d_ein_m2, Tiefe tb_ein_m2, Bohrspitze flach</t>
  </si>
  <si>
    <t>Lochkreis der Trägerschrauben.</t>
  </si>
  <si>
    <t>Kreis d_lk_m25, Winkel w_m25</t>
  </si>
  <si>
    <t>Einfache Bohrung für den Gewindeeinsatz M2,5, in −Y. GEÄNDERT v5: Abschluss DURCH ALLE. Der Lochkreis ist jetzt d_lk_m25 = 76, die Bohrung liegt neben der Tasche und tritt hinten aus.</t>
  </si>
  <si>
    <t>Ø d_ein_m25, durch alle</t>
  </si>
  <si>
    <t>n_m25, 360 deg</t>
  </si>
  <si>
    <t>Punkt für den Kontaktbolzen.</t>
  </si>
  <si>
    <t>Abstand r_kontakt, Winkel w_kontakt</t>
  </si>
  <si>
    <t>Durch alle, endet im Freistich.</t>
  </si>
  <si>
    <t>Ø d_tr_bolzen</t>
  </si>
  <si>
    <t>NEU v4: Skizze auf der XZ-Ebene</t>
  </si>
  <si>
    <t>Entlüftungsbohrungen. XZ-Ebene = Unterseite, nicht auf die Fläche selbst skizzieren. Lochkreis wie Vorbereitung 6.</t>
  </si>
  <si>
    <t>Kreis d_ent_m, Winkel w_ent</t>
  </si>
  <si>
    <t>Einfach, durch alle, Richtung +Y. Kommt oben genau in der Entlüftungsnut des Stahlrings an.</t>
  </si>
  <si>
    <t>Ø d_ent_bohr</t>
  </si>
  <si>
    <t>Bohrung aus Schritt 15.</t>
  </si>
  <si>
    <t>n_ent, 360 deg</t>
  </si>
  <si>
    <t>Querkerbe unter dem Hülsenfuß. Die Oberseite zeigt nach +Y, kein Spiegeln. Geometrie projizieren: die Kante der Bolzenbohrung anklicken, Inventor holt ihren Mittelpunkt mit. Mittelpunkt und X-Achse des Ursprungs ebenfalls projizieren. Konstruktionslinie vom Ursprung genau auf den Mittelpunkt der Bohrung (rastet ein). Diese Linie zeigt radial.</t>
  </si>
  <si>
    <t>Langloch Mittelpunkt</t>
  </si>
  <si>
    <t>GEÄNDERT v5b, statt Rechteck, damit die Enden wie vom Ø0,8-Fräser rund sind. Skizze &gt; Langloch &gt; Mittelpunkt: Klick 1 genau auf den Mittelpunkt der Bohrung, Klick 2 quer zur Konstruktionslinie (ein Bogenmittelpunkt), Klick 3 seitlich (Breite). Abhängigkeit Senkrecht: eine gerade Seite, dann die Konstruktionslinie. Bemaßen: EINE gerade Seite allein anklicken, das gibt ihre wahre Länge = Abstand der Bogenmittelpunkte. Nicht zwei Punkte anklicken, sonst bietet Inventor nur waagerecht oder senkrecht an. Dann Abstand der beiden geraden Seiten.</t>
  </si>
  <si>
    <t>gerade Seite l_tr_kerbe - b_tr_kerbe, Breite b_tr_kerbe</t>
  </si>
  <si>
    <t>Als Profil alle Flächen des Langlochs anklicken, auch das Stück innerhalb des projizierten Kreises. Richtung −Y ins Material.</t>
  </si>
  <si>
    <t>Abstand t_tr_kerbe</t>
  </si>
  <si>
    <t>Die Kerbe kreuzt die Bolzenbohrung quer und steht auf beiden Seiten 0,5 mm über den Hülsenfuß hinaus. Sie zeigt nicht zur Achse.</t>
  </si>
  <si>
    <t>NEU v5b: Rundung Freistich-Ecken</t>
  </si>
  <si>
    <t>Ändern &gt; Rundung, die beiden senkrechten Innenkanten am äußeren Ende des Freistichs (bei r_tr_frei). Ein Fräser kann keine scharfe Innenecke machen.</t>
  </si>
  <si>
    <t>NEU v5c: Fase am Freistich-Eingang</t>
  </si>
  <si>
    <t>Ändern &gt; Fase, Abstand. Die beiden senkrechten Außenkanten, an denen die Seitenwände des Freistichs auf die Taschenwand treffen. Dort sitzt am Klemmring die kleine Innenrundung des Laschenfußes.</t>
  </si>
  <si>
    <t>Abstand f_tr_frei</t>
  </si>
  <si>
    <t>Edelstahlring</t>
  </si>
  <si>
    <t>Drehteil, dann Nuten als Dreh-Schnitte, dann eine Sammelskizze für alle Bohrungen von oben. Y = 0 ist die Unterseite auf Platte und Träger.</t>
  </si>
  <si>
    <t>Skizze 1 auf XY-Ebene</t>
  </si>
  <si>
    <t>X- und Y-Achse projizieren, Mittellinie auf die Y-Achse (Format &gt; Mittellinie).</t>
  </si>
  <si>
    <t>Rechteck, zwei Punkte</t>
  </si>
  <si>
    <t>Erster Punkt auf der X-Achse rechts, zweiter schräg rechts oben. Koinzident: untere Kante auf X-Achse.</t>
  </si>
  <si>
    <t>Bemaßung</t>
  </si>
  <si>
    <t>Mittellinie + innere Kante = Ø, Mittellinie + äußere Kante = Ø, Höhe der Seitenkante.</t>
  </si>
  <si>
    <t>d_st_i, d_st_a, h_st</t>
  </si>
  <si>
    <t>Skizze 2 auf XY-Ebene: Flachnut</t>
  </si>
  <si>
    <t>Mittellinie wie oben. Kleines Rechteck, untere Kante auf der X-Achse (Unterseite), Lage rechts zwischen Bohrung und Außenkante.</t>
  </si>
  <si>
    <t>Ø d_nut_f_i, Ø d_nut_f_a, Höhe t_nut_f</t>
  </si>
  <si>
    <t>Drehung, Differenz</t>
  </si>
  <si>
    <t>360°, Ausgabe Differenz. Unten entsteht die Ringnut für den flachen O-Ring.</t>
  </si>
  <si>
    <t>Skizze 3 auf XY-Ebene: Radialnut</t>
  </si>
  <si>
    <t>Mittellinie wie oben. Kleines Rechteck, innere Kante genau auf der Bohrungskante.</t>
  </si>
  <si>
    <t>Ø d_st_i (innen), Ø d_nut_r (außen), Abstand X-Achse bis Unterkante z_nut_r, Höhe b_nut_r</t>
  </si>
  <si>
    <t>360°, Differenz. In der Bohrung entsteht die Nut für den radialen O-Ring.</t>
  </si>
  <si>
    <t>Sammelskizze auf der Oberseite</t>
  </si>
  <si>
    <t>Eine Skizze für fünf Bohrungstypen. X-Achse projizieren. Fünf Konstruktionslinien vom Ursprung, jede mit Winkel zur X-Achse und Länge, an jedes Ende ein Punkt. Alle Winkel unter 180°: Punkte auf die Seite, in die Z NICHT zeigt.</t>
  </si>
  <si>
    <t>M3: w_m3, d_lk_m3/2 | Befestigung: w_bef, d_lk_bef/2 | M2,5: w_m25, d_lk_m25/2 | Stift: w_stift, d_lk_bef/2 | Hülse: w_kontakt, r_kontakt</t>
  </si>
  <si>
    <t>Skizze freigeben</t>
  </si>
  <si>
    <t>Browser: Rechtsklick auf die Sammelskizze &gt; Skizze freigeben. Sie bleibt für alle folgenden Bohrungen sichtbar.</t>
  </si>
  <si>
    <t>Bohrung M3</t>
  </si>
  <si>
    <t>Aus Skizze, nur den M3-Punkt wählen (andere mit Strg abwählen). Gewinde ISO M3, durch alle.</t>
  </si>
  <si>
    <t>M3x0,5</t>
  </si>
  <si>
    <t>Bohrung Befestigung</t>
  </si>
  <si>
    <t>Nur Befestigungspunkt, einfach, durch alle.</t>
  </si>
  <si>
    <t>Ø d_bef_durch</t>
  </si>
  <si>
    <t>Bohrung M2,5</t>
  </si>
  <si>
    <t>Nur M2,5-Punkt, Senkung, durch alle.</t>
  </si>
  <si>
    <t>d_m25_durch, d_m25_senk, w_senk</t>
  </si>
  <si>
    <t>Bohrung Stift</t>
  </si>
  <si>
    <t>Nur Stiftpunkt, einfach, durch alle, Passung H7 in der Zeichnung.</t>
  </si>
  <si>
    <t>Ø d_stift</t>
  </si>
  <si>
    <t>Bohrung Hülse</t>
  </si>
  <si>
    <t>Nur Hülsenpunkt, einfach, durch alle.</t>
  </si>
  <si>
    <t>Ø d_st_huelse</t>
  </si>
  <si>
    <t>Runde Anordnungen</t>
  </si>
  <si>
    <t>Um die Y-Achse, Winkel 360 deg.</t>
  </si>
  <si>
    <t>M3: n_m3 | Befestigung: n_bef | M2,5: n_m25</t>
  </si>
  <si>
    <t>Messen</t>
  </si>
  <si>
    <t>Mittelpunkte mit Messen prüfen, Z muss negativ sein (Tabelle in der Anleitung).</t>
  </si>
  <si>
    <t>Arbeitsebene 1</t>
  </si>
  <si>
    <t>Ebene &gt; Winkel zu Ebene um Kante: YZ-Ebene, dann Y-Achse, Winkel.</t>
  </si>
  <si>
    <t>Arbeitsebene 2</t>
  </si>
  <si>
    <t>Ebene &gt; Tangential zu Fläche und parallel zu Ebene: Außenzylinder, dann Arbeitsebene 1. Inventor nimmt die Seite, auf die du am Zylinder klickst. Kontrolle nach der Bohrung mit Messen: erstes Gewinde außen bei X 0,00 / Z −44,00. Liegt es bei Z +44,00, Ebene neu definieren und die andere Seite des Zylinders anklicken.</t>
  </si>
  <si>
    <t>Skizze auf Arbeitsebene 2</t>
  </si>
  <si>
    <t>Arbeitsebene 1 und die untere Außenkante projizieren. Punkt auf die projizierte Linie der Arbeitsebene 1, Abstand zur Unterkante.</t>
  </si>
  <si>
    <t>Gewinde ISO M3, in das Material. Zwei Tiefen: Gewindetiefe und Bohrtiefe. Bohrspitze 118°.</t>
  </si>
  <si>
    <t>Gewindetiefe t_m3_rad, Bohrtiefe tb_m3_rad</t>
  </si>
  <si>
    <t>Runde Anordnung 1</t>
  </si>
  <si>
    <t>Die Radialbohrung, Anzahl 2. Unter &gt;&gt; Positionierung Inkrementell, Winkel.</t>
  </si>
  <si>
    <t>2, dw_rad</t>
  </si>
  <si>
    <t>Runde Anordnung 2</t>
  </si>
  <si>
    <t>Beide Radialbohrungen, Anzahl, 360 deg, Positionierung Anpassen.</t>
  </si>
  <si>
    <t>n_bl, 360 deg</t>
  </si>
  <si>
    <t>NEU v4: Skizze auf XY-Ebene: Entlüftungsnut</t>
  </si>
  <si>
    <t>Wie Skizze 2 der Flachnut: Mittellinie auf die Y-Achse, kleines Rechteck mit der unteren Kante auf der X-Achse, zwischen Flachnut und Außenkante.</t>
  </si>
  <si>
    <t>Ø d_ent_i, Ø d_ent_a, Höhe t_ent</t>
  </si>
  <si>
    <t>360°. Unten entsteht ein flacher Einstich, der die M3-Gewinde, die M2,5-Durchgänge und die Hülsenbohrung anschneidet.</t>
  </si>
  <si>
    <t>Skizze auf der XZ-Ebene: Kerben</t>
  </si>
  <si>
    <t>XZ-Ebene = Unterseite, nicht auf die Fläche selbst skizzieren. Ursprung projizieren und die Kante EINER Befestigungsbohrung (Ø d_bef_durch) projizieren, Inventor holt ihren Mittelpunkt mit. Konstruktionslinie vom Ursprung genau auf diesen Mittelpunkt. Damit liegt die Kerbe sicher auf w_bef = w_ent, ohne Winkelmaß. Linienlänge NICHT bemaßen, sie ist durch den Mittelpunkt schon fest (r 42). Die Langloch-Mittelpunkte liegen auf der Linie.</t>
  </si>
  <si>
    <t>Kerbe auf w_bef (= w_ent)</t>
  </si>
  <si>
    <t>Langloch, Mittelpunkt zu Mittelpunkt</t>
  </si>
  <si>
    <t>Register Skizze &gt; Erstellen &gt; kleiner Pfeil unter Rechteck &gt; Langloch Mittelpunkt zu Mittelpunkt. Frei NEBEN der Konstruktionslinie zeichnen. Koinzident: beide Bogenmittelpunkte auf die Linie. Bemaßen (ausgerichtet): Ursprung bis innerer Bogenmittelpunkt, Ursprung bis äußerer Bogenmittelpunkt, Abstand der geraden Kanten. Vollständig bestimmt.</t>
  </si>
  <si>
    <t>r_ent_k1, r_ent_k2, Breite b_ent_k</t>
  </si>
  <si>
    <t>Nur das Langloch als Profil, Richtung +Y ins Material.</t>
  </si>
  <si>
    <t>Abstand t_ent</t>
  </si>
  <si>
    <t>Kerbe aus Schritt 28, um die Y-Achse.</t>
  </si>
  <si>
    <t>Ansicht von unten: drei kurze Kerben verbinden die Flachnut mit der Entlüftungsnut, genau innen vor den drei Befestigungsbohrungen (60°, 180°, 300°). Messen: Kerbe bei 60° liegt bei X +17,6 / Z −30,4. Keine Kerbe läuft nach innen über die Flachnut hinaus.</t>
  </si>
  <si>
    <t>NEU v5: Skizze auf der XZ-Ebene: Entlüftung der radialen M3</t>
  </si>
  <si>
    <t>XZ-Ebene = Unterseite. Arbeitsebene 1 (die mit w_rad, Schritt 18) projizieren, sie erscheint als Linie durch den Ursprung. Punkt auf die Linie setzen, auf der Seite der radialen Bohrung, Abstand zum Ursprung bemaßen. Kontrolle: der Punkt liegt in der Entlüftungsnut, direkt unter dem Ende der Radialbohrung.</t>
  </si>
  <si>
    <t>Abstand r_ent_rad</t>
  </si>
  <si>
    <t>Einfach, Richtung +Y ins Material, Tiefe ab Unterseite. Sie trifft die radiale Bohrung von unten.</t>
  </si>
  <si>
    <t>Ø d_ent_bohr, Tiefe tb_ent_rad</t>
  </si>
  <si>
    <t>Bohrung aus Schritt 32, Anzahl 2, Positionierung Inkrementell wie Schritt 22.</t>
  </si>
  <si>
    <t>Beide Bohrungen, wie Schritt 23.</t>
  </si>
  <si>
    <t>Drehung. Y = 0 ist die Unterseite zum Glasfuß und Stahlring.</t>
  </si>
  <si>
    <t>GEÄNDERT v9 mit Lippe. Geschlossener Linienzug A bis H, Durchmesser gegen die Mittellinie, Höhen ab X-Achse:
A (d_go_lippe | h_go_senk)
B (d_go_senk | h_go_senk)
C (d_go_senk | 0)
D (d_go_a | 0)
E (d_go_a | t_go)
F (d_go_i | t_go)
G (d_go_i | h_go_senk + t_go_lippe)
H (d_go_lippe | h_go_senk + t_go_lippe)
Die Stufe G-H ist die Oberseite der Lippe, darauf stehen die Spulenstäbe.</t>
  </si>
  <si>
    <t>d_go_lippe, d_go_i, d_go_senk, d_go_a, h_go_senk, t_go_lippe, t_go</t>
  </si>
  <si>
    <t>360°.</t>
  </si>
  <si>
    <t>Lochkreis Federschrauben.</t>
  </si>
  <si>
    <t>Kreis d_lk_m3, Winkel w_m3</t>
  </si>
  <si>
    <t>Bohrung, Ansenkung</t>
  </si>
  <si>
    <t>Zylindrische Ansenkung von oben, Bohrung durch alle.</t>
  </si>
  <si>
    <t>Bohrung Ø d_go_huelse, Ansenkung Ø d_go_fsenk, Tiefe t_go_fsenk</t>
  </si>
  <si>
    <t>n_m3, 360 deg</t>
  </si>
  <si>
    <t>Punkt für die Keramikhülse.</t>
  </si>
  <si>
    <t>Ø d_go_bolzen</t>
  </si>
  <si>
    <t>Randnut für den Befestigungskopf, als Langloch Mittelpunkt zu Mittelpunkt. Konstruktionslinie vom Ursprung unter Winkel w_bef, Linie allein anklicken und Länge bemaßen. Langloch frei daneben zeichnen, äußeren Bogenmittelpunkt koinzident auf das Linienende, inneren koinzident auf die Linie. Dann EINE gerade Seite des Langlochs allein anklicken und ihre Länge bemaßen, und den Abstand der geraden Seiten. Das runde innere Ende liegt dann konzentrisch über der Schraube bei d_lk_bef/2.</t>
  </si>
  <si>
    <t>Linie d_go_a/2 + b_go_nut, gerade Seite d_go_a/2 + b_go_nut - d_lk_bef/2, Breite b_go_nut</t>
  </si>
  <si>
    <t>Nut aus Schritt 10.</t>
  </si>
  <si>
    <t>n_bef, 360 deg</t>
  </si>
  <si>
    <t>Fase innen unten</t>
  </si>
  <si>
    <t>GEÄNDERT v9: Kante zwischen der Lippenbohrung d_go_lippe und dem Boden der Glassenkung. Räumt die R1-Hohlkehle des Glases.</t>
  </si>
  <si>
    <t>Abstand f_go_i (0,5)</t>
  </si>
  <si>
    <t>NEU v7: Skizze auf der Oberseite</t>
  </si>
  <si>
    <t>Anschlussnut für das untere Spulenende. Langloch Mittelpunkt zu Mittelpunkt wie bei der Randnut (Schritt 9): Konstruktionslinie vom Ursprung unter Winkel w_go_spule, Länge r_go_spule_a - b_go_spule/2. Äußerer Bogenmittelpunkt auf das Linienende, innerer auf die Linie. Eine gerade Seite allein bemaßen, dann die Breite. Das innere Ende liegt in der Bohrung.</t>
  </si>
  <si>
    <t>Winkel w_go_spule, Linie r_go_spule_a - b_go_spule/2, gerade Seite r_go_spule_a - b_go_spule/2 - d_go_i/2 + 1, Breite b_go_spule</t>
  </si>
  <si>
    <t>GEÄNDERT v9c: Extents Distance, Richtung nach unten ins Teil. Der Nutgrund liegt dann bündig mit der Oberseite der Lippe, die Lippe selbst bleibt ein geschlossener Ring. Das Spulenende läuft 1,15 mm über dem Nutgrund radial heraus und dann außen neben den Windungen nach oben.</t>
  </si>
  <si>
    <t>t_go_spule_nut  (= t_go - (h_go_senk + t_go_lippe) = 4,3)</t>
  </si>
  <si>
    <t>Unten Lippe Ø54 × 1,2, darüber Bohrung Ø60,8 für die Spule. Glassenkung Ø62,2 zentriert den Ring auf dem Glasfuß. Auflage auf dem Glas r 27,5 bis 31. Nut bei 140° von oben 4,3 tief, ihr Grund fluchtet mit der Lippenoberseite. Unter der Nut ist die Lippe geschlossen.</t>
  </si>
  <si>
    <t>GFK-Ring oben, Umbau auf v9</t>
  </si>
  <si>
    <t>Für einen schon vorhandenen Ring aus mehreren Skizzen (Drehung oder Extrusionen, Bohrung Ø60,8, Glassenkung Ø62,2). Die Lippe kommt als eigenes Feature dazu, der Rest bleibt.</t>
  </si>
  <si>
    <t>Parameter</t>
  </si>
  <si>
    <t>Die neue Excel-Datei unter genau dem alten Namen und Pfad speichern, die alte überschreiben. Im Ring Manage &gt; Update. Unter Manage &gt; Parameters müssen d_go_lippe (54), t_go_lippe (1,2) und f_go_i (0,5) stehen.</t>
  </si>
  <si>
    <t>d_go_lippe, t_go_lippe, f_go_i</t>
  </si>
  <si>
    <t>End of Part hochziehen</t>
  </si>
  <si>
    <t>Im Browser ganz unten steht End of Part. Mit der Maus greifen und direkt über das Feature der Anschlussnut ziehen (die Extrusion aus Schritt 14 der Anleitung, 4 mm breit bei 140°). Alles darunter wird grau. So entsteht die Lippe vor der Nut. Danach in der Nut-Extrusion den Abstand auf t_go_spule_nut stellen (Schritt 14 oben), dann schneidet sie nicht mehr durch die Lippe.</t>
  </si>
  <si>
    <t>Alte Fase löschen</t>
  </si>
  <si>
    <t>Gibt es eine Fase an der unteren Kante der Bohrung Ø60,8, diese im Browser löschen (Rechtsklick &gt; Delete). Diese Kante verschwindet unter der Lippe. Die neue Fase kommt in Schritt 8.</t>
  </si>
  <si>
    <t>Arbeitsebene</t>
  </si>
  <si>
    <t>3D Model &gt; Plane &gt; Offset from Plane. Im Browser unter Origin die XZ Plane anklicken, im Feld h_go_senk eintippen. Positiver Wert, die Ebene wandert nach +Y in den Ring hinein. Sie liegt dann 0,4 über der Unterseite, genau auf dem Boden der Glassenkung.</t>
  </si>
  <si>
    <t>h_go_senk (0,4)</t>
  </si>
  <si>
    <t>Skizze auf der Arbeitsebene</t>
  </si>
  <si>
    <t>Arbeitsebene anklicken &gt; Create 2D Sketch. Zwei Kreise um den Ursprung (gelber Punkt in der Mitte, Mittelpunkt rastet ein). Beide Durchmesser bemaßen. Der äußere ist absichtlich größer als die Bohrung Ø60,8, so überlappt die Lippe mit dem Ring und füllt die Ecke sauber.</t>
  </si>
  <si>
    <t>Ø d_go_lippe (54), Ø d_go_senk (62,2)</t>
  </si>
  <si>
    <t>Extrusion, Join</t>
  </si>
  <si>
    <t>Finish Sketch, Extrude. Profil: nur der Kreisring zwischen den beiden Kreisen. Output Join. Abstand t_go_lippe, Richtung nach oben in den Ring hinein (+Y). Läuft die Vorschau nach unten aus dem Teil heraus, den Richtungspfeil umdrehen.</t>
  </si>
  <si>
    <t>t_go_lippe (1,2)</t>
  </si>
  <si>
    <t>Kontrolle Lippe</t>
  </si>
  <si>
    <t>View &gt; Half Section View an der XY-Ebene. Unten innen jetzt eine Stufe: 1,2 mm Lippe bis Ø54, darüber die Bohrung Ø60,8. Messen von der Unterseite zur Oberseite der Lippe: 1,60 (0,4 Senkung + 1,2 Lippe).</t>
  </si>
  <si>
    <t>Fase</t>
  </si>
  <si>
    <t>Modify &gt; Chamfer, Distance. Kante: der untere Innenkreis der Lippe (Ø54 auf Höhe 0,4, nur von unten zu sehen). Sie räumt die R1-Hohlkehle zwischen Glasfuß und Hals.</t>
  </si>
  <si>
    <t>f_go_i (0,5)</t>
  </si>
  <si>
    <t>End of Part zurück</t>
  </si>
  <si>
    <t>End of Part wieder ganz nach unten ziehen. Dann Nut-Extrusion bearbeiten (Rechtsklick &gt; Edit Feature): Extents Distance, t_go_spule_nut eintippen, Richtung nach unten. Ergibt 4,3 von oben. Arbeitsebene aus Schritt 4 ausblenden (Rechtsklick &gt; Visibility).</t>
  </si>
  <si>
    <t>Von unten: Lippe Ø54 bis Ø62,2 als geschlossener Ring. Von oben: Nutgrund bei 140° fluchtet mit der Lippenoberseite, Measure zwischen beiden Flächen ergibt 0. iProperties &gt; Physical &gt; Update: Volumen etwa 15 610 mm³. Genauer: RFN_GFK_Ring_v9.step in eine leere Baugruppe, deinen Ring dazu, alle drei Ursprungsebenen Flush 0, Inspect &gt; Analyze Interference. Weicht etwas ab, zeigt das Ergebnis wo.</t>
  </si>
  <si>
    <t>Frontplatte, Bereich um den RFN</t>
  </si>
  <si>
    <t>In die vorhandene Plattenkonstruktion einarbeiten. Vorderseite = Anlage Stahlring.</t>
  </si>
  <si>
    <t>Plattendicke im Auge</t>
  </si>
  <si>
    <t>Dicke im Bereich um die Bohrung. Rückseite liegt dann knapp hinter dem Klemmring.</t>
  </si>
  <si>
    <t>Durch alle, Passung H7.</t>
  </si>
  <si>
    <t>Ø d_pl_bohr</t>
  </si>
  <si>
    <t>An beiden Kanten der Bohrung.</t>
  </si>
  <si>
    <t>Abstand f_pl</t>
  </si>
  <si>
    <t>Skizze auf der Vorderseite</t>
  </si>
  <si>
    <t>Lochkreis Befestigung.</t>
  </si>
  <si>
    <t>Kreis d_lk_bef, Winkel w_bef</t>
  </si>
  <si>
    <t>Bei Aluminium: Bohrung für Gewindeeinsatz M2, durch. Bei Stahl: Gewinde M2 durch.</t>
  </si>
  <si>
    <t>Ø d_ein_m2   oder   M2x0,4</t>
  </si>
  <si>
    <t>Passstiftbohrung</t>
  </si>
  <si>
    <t>Punkt auf dem Befestigungs-Lochkreis, Bohrung H7 durch.</t>
  </si>
  <si>
    <t>Kreis d_lk_bef, Winkel w_stift, Ø d_stift</t>
  </si>
  <si>
    <t>Abdeckblech, NEU v6b</t>
  </si>
  <si>
    <t>Aluminium. EIN Bauteil, in der Baugruppe dreimal eingesetzt. Das Blech liegt symmetrisch zur +X-Achse, so braucht kein Winkel ein Vorzeichen. Y = 0 ist die Unterkante, die auf der Frontplatte steht.</t>
  </si>
  <si>
    <t>A</t>
  </si>
  <si>
    <t>Grundkörper</t>
  </si>
  <si>
    <t>Ein Rechteck, eine Drehung um 119°.</t>
  </si>
  <si>
    <t>Skizze 1 auf der XY-Ebene</t>
  </si>
  <si>
    <t>Mittellinie genau auf die Y-Achse legen (Linie zeichnen, Format &gt; Mittellinie). Rechts davon ein Rechteck, untere Kante koinzident auf die X-Achse. Innere und äußere senkrechte Kante jeweils gegen die Mittellinie bemaßen, Inventor macht daraus Durchmesser. Höhe bemaßen.</t>
  </si>
  <si>
    <t>Ø d_ab_i (88), Ø d_ab_a (90), Höhe h_ab (89,3)</t>
  </si>
  <si>
    <t>Profil: das schmale Rechteck. Achse: die Mittellinie. Ausdehnung Winkel. Bei der Richtung den dritten Knopf wählen, Symmetrisch. Das Blech reicht dann je 59,5° nach beiden Seiten der XY-Ebene.</t>
  </si>
  <si>
    <t>Winkel w_ab (119)</t>
  </si>
  <si>
    <t>Von oben (ViewCube OBEN, X nach rechts): ein Bogen rechts, gleich weit über und unter der X-Achse. iProperties: Volumen 8253 mm³.</t>
  </si>
  <si>
    <t>B</t>
  </si>
  <si>
    <t>Bohrungen</t>
  </si>
  <si>
    <t>Eine Bohrung oben und unten auf einer Seite, dann spiegeln.</t>
  </si>
  <si>
    <t>Ebene &gt; Winkel zu Ebene um Kante. Im Browser erst die YZ-Ebene, dann die Y-Achse anklicken, Winkel eintippen. Ob die Ebene nach links oder rechts gekippt ist, ist egal, das Spiegeln macht später beide Seiten.</t>
  </si>
  <si>
    <t>w_ab_loch (40)</t>
  </si>
  <si>
    <t>Ebene &gt; Tangential zu Fläche und parallel zu Ebene. Erst die AUSSENFLÄCHE des Blechs anklicken, dann Arbeitsebene 1. Es gibt nur eine Stelle am Blech, an der das geht. Die neue Ebene berührt das Blech außen und steht senkrecht zum Radius.</t>
  </si>
  <si>
    <t>Skizze 2 auf Arbeitsebene 2</t>
  </si>
  <si>
    <t>Arbeitsebene 2 anklicken &gt; Skizze. Im Browser die Y-Achse und die XZ-Ebene anklicken &gt; Rechtsklick &gt; Geometrie projizieren. Die Y-Achse erscheint als senkrechte Linie genau an der Berührstelle, die XZ-Ebene als waagerechte Linie auf der Unterkante. Zwei Punkte auf die senkrechte Linie setzen (Koinzident). Abstand jedes Punkts zur waagerechten Linie bemaßen.</t>
  </si>
  <si>
    <t>unten z_m3_rad (2,75)   oben h_ab - a_ab_o (85,3)</t>
  </si>
  <si>
    <t>Skizze beenden, Bohrung, beide Punkte werden automatisch genommen. Einfache Bohrung, Durchmesser, Beenden Durch alle, Richtung zur Achse hin. Durch alle trifft hier nur das eine Blech, auf der Gegenseite ist keins.</t>
  </si>
  <si>
    <t>Ø d_ab_loch (3,2)</t>
  </si>
  <si>
    <t>Spiegeln</t>
  </si>
  <si>
    <t>Ändern-Gruppe Muster &gt; Spiegeln. Feature: die Bohrung. Spiegelebene: XY-Ebene im Browser. Jetzt hat das Blech vier Löcher, je zwei bei ± w_ab_loch zur Blechmitte.</t>
  </si>
  <si>
    <t>Messen: erst die XZ-Ebene im Browser, dann die Innenwand eines unteren Lochs anklicken, Abstand 2,75. Beim oberen Loch 85,30. Messen &gt; Winkel zwischen den Wänden der beiden unteren Löcher: 80°. iProperties: Volumen 8221 mm³, Masse 22 g. Gegen RFN_Abdeckblech_Referenz.step: beide Ursprünge fluchten, Störung analysieren findet nichts.</t>
  </si>
  <si>
    <t>Material</t>
  </si>
  <si>
    <t>Aluminium 6061 aus der Bibliothek. iProperties &gt; Projekt &gt; Beschreibung: EN AW-5754, 1 mm.</t>
  </si>
  <si>
    <t>C</t>
  </si>
  <si>
    <t>In der Baugruppe, dreimal</t>
  </si>
  <si>
    <t>Für jedes Blech drei Abhängigkeiten, Tabelle Baugruppe Schritte 25 bis 28.</t>
  </si>
  <si>
    <t>Achse</t>
  </si>
  <si>
    <t>Y-Achse Blech mit Y-Achse Blende, Passend.</t>
  </si>
  <si>
    <t>Höhe</t>
  </si>
  <si>
    <t>XZ-Ebene Blech mit XZ-Ebene Blende, Fluchtend, Versatz. Die Unterkante steht dann auf der Frontplatte.</t>
  </si>
  <si>
    <t>z_tr_oben (4,5)</t>
  </si>
  <si>
    <t>Drehlage</t>
  </si>
  <si>
    <t>Achse eines unteren Lochs mit der Achse eines Radialgewindes im Edelstahlring, Passend. Blech 1: Gewinde 130°, Blech 2: 250°, Blech 3: 10°. Kontrolle: das zweite untere Loch muss auf 210°, 330° bzw. 90° sitzen. Liegt es stattdessen auf 90°, 210° bzw. 330°, hast du das falsche Loch genommen: Abhängigkeit löschen, das andere untere Loch nehmen.</t>
  </si>
  <si>
    <t>Die drei Fugen liegen bei 110°, 230° und 350°, je 0,77 mm breit. Die oberen Löcher fluchten mit den Gewinden im Deckel, sobald der Deckel eingebaut ist.</t>
  </si>
  <si>
    <t>Deckel, NEU v6b</t>
  </si>
  <si>
    <t>Aluminium. Drei Extrusionen, dann die Löcher. Y = 0 ist die Unterseite des Zapfens, der in den Blechen steckt.</t>
  </si>
  <si>
    <t>Drei Kreise, drei Extrusionen. Kein Linienzug.</t>
  </si>
  <si>
    <t>Skizze 1 auf der XZ-Ebene</t>
  </si>
  <si>
    <t>Kreis, Mittelpunkt auf den gelben Ursprungspunkt. Durchmesser bemaßen. Skizze beenden.</t>
  </si>
  <si>
    <t>Ø d_ab_i</t>
  </si>
  <si>
    <t>Extrusion 1</t>
  </si>
  <si>
    <t>Richtung +Y, der Pfeil zeigt nach oben. Ergibt einen vollen Zylinder Ø88.</t>
  </si>
  <si>
    <t>Abstand h_dk_zapfen + h_dk   (= 29)</t>
  </si>
  <si>
    <t>Skizze 2 auf der Oberseite</t>
  </si>
  <si>
    <t>Die obere Kreisfläche anklicken. Kreis um den Mittelpunkt, er rastet auf der Kante ein.</t>
  </si>
  <si>
    <t>Ø d_ab_a</t>
  </si>
  <si>
    <t>Extrusion 2, Vereinigung</t>
  </si>
  <si>
    <t>Beide Teilflächen anklicken, innen und den schmalen Ring, also den ganzen Kreis Ø90. Richtung nach unten in das Teil. Unten bleibt der Zapfen Ø88 stehen.</t>
  </si>
  <si>
    <t>Abstand h_dk   (= 22)</t>
  </si>
  <si>
    <t>Skizze 3 auf der XZ-Ebene</t>
  </si>
  <si>
    <t>Wieder die XZ-Ebene aus dem Browser, sie liegt auf der Unterseite. Kreis um den Ursprung.</t>
  </si>
  <si>
    <t>Ø d_dk_i</t>
  </si>
  <si>
    <t>Extrusion 3, Differenz</t>
  </si>
  <si>
    <t>Richtung +Y. Es bleibt ein Topf mit 2 mm Boden oben.</t>
  </si>
  <si>
    <t>Abstand h_dk_zapfen + h_dk - t_dk   (= 27)</t>
  </si>
  <si>
    <t>iProperties &gt; Physikalisch &gt; Aktualisieren: Volumen 46 816 mm³. Halbschnitt-Ansicht: Wand am Zapfen 4 mm, oben 5 mm, Boden 2 mm.</t>
  </si>
  <si>
    <t>Durchführungen</t>
  </si>
  <si>
    <t>Eine Skizze, eine Extrusion. Die Abflachungen liegen alle waagerecht, parallel zur X-Achse. Wie sie stehen, ist egal, der Stecker dreht sich passend hinein.</t>
  </si>
  <si>
    <t>Skizze 4 auf der Oberseite</t>
  </si>
  <si>
    <t>Obere Kreisfläche anklicken. Ansicht von oben auf den Deckel: im ViewCube auf OBEN klicken. Y zeigt dann auf dich und ist im Achsenkreuz nur ein Punkt oder sehr kurz. Mit den Drehpfeilen am ViewCube in der Ebene drehen, bis X nach rechts zeigt. Z zeigt dann von selbst nach unten. Zeigt Z nach oben, schaust du von unten. Im Browser unter Ursprung Mittelpunkt und X-Achse anklicken &gt; Rechtsklick &gt; Geometrie projizieren.</t>
  </si>
  <si>
    <t>Konstruktionskreis</t>
  </si>
  <si>
    <t>Format &gt; Konstruktion einschalten. Kreis um den Mittelpunkt.</t>
  </si>
  <si>
    <t>Ø d_dk_lk</t>
  </si>
  <si>
    <t>Kreuz aus zwei Linien</t>
  </si>
  <si>
    <t>Noch im Konstruktionsmodus. Linie 1 von einem Punkt auf dem Konstruktionskreis links unten durch die Mitte zum Kreis rechts oben, flacher als 45°. Abhängigkeit Koinzident: Mittelpunkt auf Linie 1. Winkel bemaßen: erst projizierte X-Achse, dann Linie 1, den Wert über der X-Achse rechts absetzen. Linie 2 genauso von links oben nach rechts unten, Mittelpunkt koinzident, dann Abhängigkeit Senkrecht zu Linie 1. Konstruktion wieder ausschalten.</t>
  </si>
  <si>
    <t>Winkel w_dk_gas</t>
  </si>
  <si>
    <t>Vier Kreise</t>
  </si>
  <si>
    <t>Normale Kreise, Mittelpunkt jeweils auf ein Linienende. Rechts oben das Gas, links oben und links unten je eine SHV, rechts unten die N-Buchse.</t>
  </si>
  <si>
    <t>Gas Ø d_dk_gas | SHV Ø d_dk_shv (zweimal) | N Ø d_dk_n</t>
  </si>
  <si>
    <t>Abflachung SHV</t>
  </si>
  <si>
    <t>In jeden SHV-Kreis eine Linie quer, oberhalb des Mittelpunkts. Beide Enden auf den Kreis (Koinzident), Abhängigkeit Horizontal. Abstand Linie zum Kreismittelpunkt bemaßen. Nicht trimmen.</t>
  </si>
  <si>
    <t>Abflachung N</t>
  </si>
  <si>
    <t>In den N-Kreis zwei Linien quer, eine über und eine unter dem Mittelpunkt. Enden auf den Kreis, beide Horizontal. Jede einzeln zum Kreismittelpunkt bemaßen.</t>
  </si>
  <si>
    <t>je s_dk_n/2</t>
  </si>
  <si>
    <t>Extrusion 4, Differenz</t>
  </si>
  <si>
    <t>Skizze beenden. Profile anklicken: den Gaskreis ganz, bei jeder SHV nur das große Stück unter der Linie, bei der N-Buchse nur den Streifen zwischen den Linien. Die kleinen Kappen NICHT anklicken, dort bleibt Material stehen, das ist die Abflachung. Beenden Durch alle, Richtung nach unten.</t>
  </si>
  <si>
    <t>Messen, Kante des Gaslochs anklicken: Mitte bei X 22,94 / Z −16,06. N-Buchse bei X 16,06 / Z 22,94. Steht beim Gas Z +16,06, ist das Kreuz gespiegelt: Winkelmaß in Skizze 4 löschen, Linie 1 auf die andere Seite der X-Achse ziehen, neu bemaßen.</t>
  </si>
  <si>
    <t>Radialgewinde</t>
  </si>
  <si>
    <t>Sechs M3 durch die Zapfenwand, für die oberen Blechschrauben.</t>
  </si>
  <si>
    <t>Ebene &gt; Versetzt von Ebene. Im Browser die XY-Ebene anklicken, Wert mit Minus eintippen. Die neue Ebene berührt den Zapfen auf der Seite, in die Z nicht zeigt. Das gilt, solange w_rad = 90 bleibt.</t>
  </si>
  <si>
    <t>-d_ab_i/2</t>
  </si>
  <si>
    <t>Skizze 5 auf der Arbeitsebene</t>
  </si>
  <si>
    <t>Im Browser Y-Achse und XZ-Ebene projizieren. Die Y-Achse erscheint senkrecht, die XZ-Ebene waagerecht. Punkt auf die senkrechte Linie (Koinzident), Abstand zur waagerechten bemaßen. Skizze beenden.</t>
  </si>
  <si>
    <t>h_dk_zapfen - a_ab_o   (= 3)</t>
  </si>
  <si>
    <t>Punkt wählen. Gewindebohrung, ISO Metrisches Profil, M3x0,5, Häkchen Volle Tiefe. Beenden Abstand. Richtung zur Achse hin, also ins Material.</t>
  </si>
  <si>
    <t>Tiefe (d_ab_i - d_dk_i)/2   (= 4)</t>
  </si>
  <si>
    <t>Messen: Bohrungsmitte außen bei X 0,00 / Y 3,00 / Z −44,00.</t>
  </si>
  <si>
    <t>Feature: die Bohrung. Drehachse: Y-Achse im Browser. Anzahl 2, Winkel eintragen, unter &gt;&gt; Positionierung Inkrementell. Die zweite Bohrung muss bei X −28,28 / Z −33,71 liegen (130°). Steht sie bei X +28,28, den Pfeil Richtung umkehren.</t>
  </si>
  <si>
    <t>Feature: im Browser die Bohrung und Runde Anordnung 1 anklicken (Strg). Drehachse Y-Achse, Anzahl, 360°, Positionierung Anpassen. Ergebnis sechs Gewinde bei 10°, 90°, 130°, 210°, 250°, 330°.</t>
  </si>
  <si>
    <t>D</t>
  </si>
  <si>
    <t>Abschluss</t>
  </si>
  <si>
    <t>Aluminium 6061 aus der Bibliothek. iProperties &gt; Projekt &gt; Beschreibung: EN AW-6082 T6.</t>
  </si>
  <si>
    <t>Volumen 45 930 mm³, Masse 124 g. Mit RFN_Deckel_Referenz.step vergleichen: Platzieren, beide Ursprünge fluchten, Prüfen &gt; Störung analysieren darf nichts finden.</t>
  </si>
  <si>
    <t>Spule, NEU v8</t>
  </si>
  <si>
    <t>Kupfer, rechtsgängige Wendel. Y = 0 ist die Unterkante der untersten Windung.</t>
  </si>
  <si>
    <t>Y-Achse projizieren. Kreis rechts davon. Waagerechter Abstand Mittelpunkt zur projizierten Y-Achse = Radius der Drahtmitte. Senkrechter Abstand zur X-Achse = halber Draht.</t>
  </si>
  <si>
    <t>Ø d_draht, Abstand r_spule_m, Höhe d_draht/2</t>
  </si>
  <si>
    <t>Spirale</t>
  </si>
  <si>
    <t>Erstellen &gt; Spirale. Profil: der Kreis. Achse: Y-Achse im Browser. Register Spiralgröße: Typ Steigung und Umdrehung. Die Spule wächst nach +Y.</t>
  </si>
  <si>
    <t>Steigung p_spule, Umdrehung n_spule</t>
  </si>
  <si>
    <t>Kontrolle Drehsinn</t>
  </si>
  <si>
    <t>Ansicht OBEN, X nach rechts. Die Windung muss beim Aufsteigen gegen den Uhrzeigersinn laufen, das ist rechtsgängig wie die Nut in den Stäben. Sonst Spirale bearbeiten und die Drehrichtung umschalten.</t>
  </si>
  <si>
    <t>Kontrolle Maße</t>
  </si>
  <si>
    <t>Höhe gesamt n_spule · p_spule + d_draht = 32,5. Außen Ø60,2, innen Ø54,2. Der Wendelanfang liegt auf der +X-Achse.</t>
  </si>
  <si>
    <t>Anschlüsse</t>
  </si>
  <si>
    <t>Unteres Ende: radial nach außen auf r_anschl_u, dann senkrecht nach oben, außen an allen Windungen vorbei. Oberes Ende: senkrecht nach oben. Beide enden l_anschl über der obersten Windung, nebeneinander. Als Sweep mit Kreis Ø d_draht entlang einer 3D-Skizze, Biegeradius 2 bis 3 mm.</t>
  </si>
  <si>
    <t>r_anschl_u, l_anschl</t>
  </si>
  <si>
    <t>Kupfer aus der Bibliothek.</t>
  </si>
  <si>
    <t>Spulenstäbe, NEU v8</t>
  </si>
  <si>
    <t>GFK. Ein Bauteil mit vier Stäben, so wie sie aus einem Rohr mit Wendelnut entstehen. Y = 0 ist die Unterseite, sie steht auf dem Glasfuß.</t>
  </si>
  <si>
    <t>Mittellinie auf die Y-Achse. Rechteck rechts davon, untere Kante auf der X-Achse. Innen- und Außenkante gegen die Mittellinie bemaßen.</t>
  </si>
  <si>
    <t>Ø d_stab_i, Ø d_stab_a, Höhe l_stab</t>
  </si>
  <si>
    <t>360°. Ein Rohr.</t>
  </si>
  <si>
    <t>Ändern &gt; Fase, Abstand. Kante zwischen Bohrung und Unterseite. Sie räumt die R1-Hohlkehle am Glas.</t>
  </si>
  <si>
    <t>Skizze 2 auf der XY-Ebene</t>
  </si>
  <si>
    <t>Mittellinie wie oben. Kleines Rechteck für die Nut: Innenkante auf Ø d_nut_spule, Außenkante 1 mm außerhalb des Rohrs, Unterkante im Abstand t_stab_boden über der X-Achse, Höhe b_nut_spule.</t>
  </si>
  <si>
    <t>Ø d_nut_spule, Ø d_stab_a + 2, Abstand t_stab_boden, Höhe b_nut_spule</t>
  </si>
  <si>
    <t>Spirale, Differenz</t>
  </si>
  <si>
    <t>Profil: das kleine Rechteck. Achse: Y-Achse. Ausgabe Differenz. Steigung und Umdrehung, Drehrichtung wie bei der Spule. Die Nut läuft oben aus dem Rohr heraus.</t>
  </si>
  <si>
    <t>Steigung p_spule, Umdrehung (l_stab - t_stab_boden)/p_spule + 1</t>
  </si>
  <si>
    <t>Skizze 3 auf der Oberseite</t>
  </si>
  <si>
    <t>Ansicht OBEN, X nach rechts. Ursprung und X-Achse projizieren. Zwei Konstruktionslinien als Kreuz durch den Ursprung, senkrecht zueinander, die erste unter w_stab_rel zur X-Achse (rechts oben). Je ein Rechteck symmetrisch zu jeder Linie, über das Rohr hinaus. Die Nut beginnt bei +X, die Stäbe liegen damit 18° neben den Spulenanschlüssen.</t>
  </si>
  <si>
    <t>Winkel w_stab_rel (72°), Breite b_stab, Länge d_stab_a + 4</t>
  </si>
  <si>
    <t>Extrusion, Schnittmenge</t>
  </si>
  <si>
    <t>Das ganze Kreuz als Profil, Durch alle nach unten, Ausgabe Schnittmenge. Übrig bleiben vier Stäbe.</t>
  </si>
  <si>
    <t>Vier Stäbe, 5 mm breit, je sechs bis sieben schräge Nuten. Benachbarte Stäbe haben ihre Nuten um eine Viertelsteigung (1,25 mm) versetzt. Volumen etwa 1260 mm³.</t>
  </si>
  <si>
    <t>GFK. Achtung Temperatur, siehe Fertigungshinweise.</t>
  </si>
  <si>
    <t>Kleinteile</t>
  </si>
  <si>
    <t>Distanzhülse</t>
  </si>
  <si>
    <t>Skizze XY: Rechteck zwischen den Durchmessern, Höhe l_dh. Drehung.</t>
  </si>
  <si>
    <t>Ø d_dh_i bis Ø d_dh_a, Höhe l_dh</t>
  </si>
  <si>
    <t>Keramikhülse</t>
  </si>
  <si>
    <t>Wie Distanzhülse.</t>
  </si>
  <si>
    <t>Ø d_kh_i bis Ø d_kh_a, Höhe l_kh</t>
  </si>
  <si>
    <t>Skizze XY, Mittellinie. Kreis mit Schnurstärke, Mittelpunkt im Abstand d1 + d2 als Durchmesser zur Mittellinie. Drehung. Im Zusammenbau durchdringt er Glas und Nut, das ist die Verpressung.</t>
  </si>
  <si>
    <t>Kreis Ø d2_or_r, Mittelpunkt Ø d1_or_r + d2_or_r</t>
  </si>
  <si>
    <t>Wie oben.</t>
  </si>
  <si>
    <t>Kreis Ø d2_or_f, Mittelpunkt Ø d1_or_f + d2_or_f</t>
  </si>
  <si>
    <t>Druckfeder</t>
  </si>
  <si>
    <t>Konstruieren &gt; Druckfeder (Konstruktions-Assistent) oder als Platzhalter ein Rohr. Werte nach der Katalogwahl in der Tabelle nachziehen.</t>
  </si>
  <si>
    <t>Ø d_fe_i / d_fe_a, Länge frei l_fe_0, eingebaut l_fe_ein</t>
  </si>
  <si>
    <t>Kontaktbolzen</t>
  </si>
  <si>
    <t>Selbst modellieren: Skizze XZ-Ebene, Kreis um den Ursprung, Extrusion in +Y. Ändern &gt; Gewinde auf die Mantelfläche, ganze Länge, ISO Metrisches Profil M2,5x0,45. iProperties &gt; Projekt &gt; Bauteilnummer: DIN 976-1 M2,5 x 24 A2.</t>
  </si>
  <si>
    <t>Ø d_kb, Länge l_kb_best</t>
  </si>
  <si>
    <t>Normteile aus dem Inhaltscenter</t>
  </si>
  <si>
    <t>Senkschraube ISO 14581 M2 x l_m2, Senkschraube ISO 14581 M2,5 x l_m25 (v5: 10), Zylinderschraube ISO 4762 M2 x l_bef (ersetzt DIN 912), DIN 7984 M3 x l_m3 (v5: 10), Scheibe ISO 7089 M3, Mutter ISO 4032 M2,5, Zylinderstift ISO 8734 Ø2. DIN 7984 nur mit Bibliothek Inventor DIN, Ersatz fürs Modell ISO 14580 M3. Gewindeeinsätze HELICOIL Tangfree: M2 1d (t_ein_m2), M2,5 2d (t_ein_m25).</t>
  </si>
  <si>
    <t>Längen l_m2, l_m25, l_m3, l_bef</t>
  </si>
  <si>
    <t>NEU v5: Federscheibe</t>
  </si>
  <si>
    <t>Sonderteil 1.4301, gelasert oder gedreht. Skizze XY: Rechteck zwischen den Durchmessern, Höhe t_sch_u, Drehung. In der Baugruppe auf den Boden der Federsenkung, darauf die Feder.</t>
  </si>
  <si>
    <t>Ø d_sch_u_i bis Ø d_sch_u_a, Höhe t_sch_u</t>
  </si>
  <si>
    <t>NEU v6: Abdeckung</t>
  </si>
  <si>
    <t>12 × ISO 4762 M3 x l_rad, versilbert, je mit Scheibe ISO 7089 M3 außen auf dem Blech. 6 davon ins Sackgewinde des Stahlrings, 6 durch die Zapfenwand des Deckels. Stecker als Hersteller-STEP: Pasternack PE4239 (SHV), N-Buchse wie bisher, Swagelok SS-200-61 von swagelok.com. Die beiden alten aus Aufhängung_RFN.stp gehen auch.</t>
  </si>
  <si>
    <t>Fertigungshinweise</t>
  </si>
  <si>
    <t>Was an welchem Teil wie gefertigt wird. Innenecken an gefrästen Taschen immer mit Radius.</t>
  </si>
  <si>
    <t>Lasern oder drahterodieren, Kerbe und Lochbild gleich mit. Glasauflage gratfrei, eben 0,02.</t>
  </si>
  <si>
    <t>Gefräst aus 1.4301, danach beidseitig plan schleifen. Außenkontur mit Fräser Ø2: Laschenfuß R r_kr_fuss, Laschenecken R r_fr. Schlitz b_kr_schlitz mit Fräser Ø1 durch. Bohrung Ø46 und Außen Ø72 gedreht oder zirkular gefräst. Senkungen bohren, Kerben Fräser Ø1,5, Gewinde M2,5 in der Lasche.</t>
  </si>
  <si>
    <t>b_kr_schlitz, r_kr_fuss, r_fr, b_kr_kerbe</t>
  </si>
  <si>
    <t>Drehteil. Freistich mit Fräser Ø2, Ecken r_fr, Eingangskanten Fase f_tr_frei. Querkerbe Fräser Ø1,5. Einsatzbohrungen M2 mit flachem Grund (Schaftfräser Ø2,1), M2,5 durch.</t>
  </si>
  <si>
    <t>r_fr, f_tr_frei, b_tr_kerbe</t>
  </si>
  <si>
    <t>Drehteil, beide O-Ring-Nuten und die Entlüftungsnut gedreht. Kerben Fräser Ø1,5. Bohrungen Ø1 kurz halten, von unten.</t>
  </si>
  <si>
    <t>Drehteil mit Fase f_go_i innen. Randnuten Fräser Ø4, das runde Ende sitzt über der Schraube.</t>
  </si>
  <si>
    <t>f_go_i, b_go_nut</t>
  </si>
  <si>
    <t>NEU v6: Abdeckbleche</t>
  </si>
  <si>
    <t>Zwei Wege. Gedreht: Alurohr innen auf d_ab_i und außen auf d_ab_a abdrehen, Länge h_ab, die vier mal drei Bohrungen radial bohren, dann in drei Teile sägen, die Fuge ist mit 0,77 mm etwa ein Sägeschnitt. Gerollt: EN AW-5754 1 mm lasern, Zuschnitt l_ab_abw × h_ab, Bohrungen bei ± s_ab_loch zur Mitte, dann auf Ø88 rollen, Enden vorbiegen. Gedreht passt besser auf Stahlring und Deckelzapfen.</t>
  </si>
  <si>
    <t>l_ab_abw, s_ab_loch</t>
  </si>
  <si>
    <t>NEU v6: Deckel</t>
  </si>
  <si>
    <t>Drehteil EN AW-6082. D-Bohrungen fräsen, Radialgewinde durch die Zapfenwand.</t>
  </si>
  <si>
    <t>NEU v8: Spulenstäbe</t>
  </si>
  <si>
    <t>Rohr drehen Ø d_stab_i / Ø d_stab_a, innen auf einem Dorn stützen. Wendelnut wie ein Gewinde drehen, Steigung p_spule rechts, Breite b_nut_spule, Grund Ø d_nut_spule, Auslauf t_stab_boden über der Unterseite. Fase innen. Dann vier Stäbe 5 mm breit heraustrennen und 1 bis 4 nummerieren, Reihenfolge beim Einbau beibehalten.</t>
  </si>
  <si>
    <t>p_spule, b_nut_spule, d_nut_spule</t>
  </si>
  <si>
    <t>NEU v8: Temperatur Spulenstäbe</t>
  </si>
  <si>
    <t>Die Stäbe berühren die Spule. Sie wurde im Modell 250 bis 300 °C heiß. Epoxid-GFK (FR4) hat Tg 130 bis 180 °C und wird dort weich. Besser: Silikonharz-Glasgewebe (bis etwa 250 °C), Polyimid-Glas oder PEEK-GF30 (Dauer 250 °C). Werkstoff vor der Bestellung festlegen.</t>
  </si>
  <si>
    <t>NEU v8: Spule</t>
  </si>
  <si>
    <t>Auf einem Dorn Ø d_nut_spule wickeln oder direkt in die Nut der vier Stäbe auf dem Glas einschrauben. Rechtsgängig, wie die Nut.</t>
  </si>
  <si>
    <t>Vakuum</t>
  </si>
  <si>
    <t>Radiale M3 der Abdeckbleche: entlüftet über Bohrungen von unten (Edelstahlring Schritte 31 bis 34), normale Schrauben reichen. Die radialen M3 im Deckel gehen durch die Wand, der Innenraum entlüftet über die drei Blechfugen. M3-Federschrauben im Stahlgewinde versilbert bestellen, Edelstahl auf Edelstahl frisst im Vakuum. Keine verzinkten Teile. O-Ringe aus FFKM. Den Ringraum um den Glasfuß unter dem radialen O-Ring absichtlich nicht entlüften.</t>
  </si>
  <si>
    <t>Baugruppe: Abhängigkeiten. Parameterdatei auch in der Baugruppe verknüpfen, dann gehen Ausdrücke im Versatzfeld.</t>
  </si>
  <si>
    <t>Element</t>
  </si>
  <si>
    <t>an Bauteil</t>
  </si>
  <si>
    <t>Abhängigkeit</t>
  </si>
  <si>
    <t>Versatz / Hinweis</t>
  </si>
  <si>
    <t>Vorbereitung</t>
  </si>
  <si>
    <t>Parameterdatei auch in der Baugruppe verknüpfen (Verwalten &gt; Parameter &gt; Verknüpfen)</t>
  </si>
  <si>
    <t>—</t>
  </si>
  <si>
    <t>Dann gehen Parameternamen im Versatzfeld</t>
  </si>
  <si>
    <t>Fixieren</t>
  </si>
  <si>
    <t>Erstes Bauteil. Ihr Ursprung ist der Ursprung der Baugruppe, z = 0 = Blendenunterseite</t>
  </si>
  <si>
    <t>Y-Achse</t>
  </si>
  <si>
    <t>Passend (Achsen)</t>
  </si>
  <si>
    <t>XY-Ebene</t>
  </si>
  <si>
    <t>Fluchtend, 0</t>
  </si>
  <si>
    <t>legt den Winkel fest, alle Bohrungen fluchten automatisch</t>
  </si>
  <si>
    <t>XZ-Ebene</t>
  </si>
  <si>
    <t>Fluchtend, Versatz</t>
  </si>
  <si>
    <t>z_kr_unten  (= −1,5, Klemmring liegt UNTER der Blende)</t>
  </si>
  <si>
    <t>z_kr_unten  (Unterseite bündig mit dem Klemmring)</t>
  </si>
  <si>
    <t>Y-Achse / XY-Ebene</t>
  </si>
  <si>
    <t>Passend / Fluchtend 0</t>
  </si>
  <si>
    <t>z_tr_oben  (= 4,5)</t>
  </si>
  <si>
    <t>z_go_unten  (= 10,3)</t>
  </si>
  <si>
    <t>Glasgefäß</t>
  </si>
  <si>
    <t>Z-Achse (seine Achse)</t>
  </si>
  <si>
    <t>Glas wurde mit Achse Z modelliert</t>
  </si>
  <si>
    <t>Bodenfläche</t>
  </si>
  <si>
    <t>Oberseite</t>
  </si>
  <si>
    <t>Passend</t>
  </si>
  <si>
    <t>Hals muss nach +Y zeigen</t>
  </si>
  <si>
    <t>Prüfen</t>
  </si>
  <si>
    <t>Klemmring-Unterseite</t>
  </si>
  <si>
    <t>Unterseite</t>
  </si>
  <si>
    <t>Analyse &gt; Abstand</t>
  </si>
  <si>
    <t>0</t>
  </si>
  <si>
    <t>Blende-Oberseite</t>
  </si>
  <si>
    <t>Taschenboden</t>
  </si>
  <si>
    <t>GFK-Ring Unterseite</t>
  </si>
  <si>
    <t>sp_go_st = 0,3</t>
  </si>
  <si>
    <t>Laschengewinde</t>
  </si>
  <si>
    <t>Bolzenbohrung</t>
  </si>
  <si>
    <t>Achsen fluchten?</t>
  </si>
  <si>
    <t>sonst XY-Ebene um 180° falsch, Fluchtend statt Passend nehmen</t>
  </si>
  <si>
    <t>Mittelebene (XZ)</t>
  </si>
  <si>
    <t>z_nut_r + b_nut_r/2</t>
  </si>
  <si>
    <t>t_nut_f - d2_or_f/2</t>
  </si>
  <si>
    <t>Unterseite / Achse</t>
  </si>
  <si>
    <t>Träger / Edelstahlring</t>
  </si>
  <si>
    <t>Oberseite / Hülsenbohrung</t>
  </si>
  <si>
    <t>steht auf dem Träger</t>
  </si>
  <si>
    <t>Achse / untere Stirnfläche</t>
  </si>
  <si>
    <t>Laschengewinde / Unterseite</t>
  </si>
  <si>
    <t>Passend / Fluchtend</t>
  </si>
  <si>
    <t>bündig mit der Unterseite</t>
  </si>
  <si>
    <t>Muttern, Kabelschuh</t>
  </si>
  <si>
    <t>Oberseite / Achse</t>
  </si>
  <si>
    <t>Mutter, Kabelschuh, Kontermutter</t>
  </si>
  <si>
    <t>Distanzhülse, Feder, M3 (9×)</t>
  </si>
  <si>
    <t>Oberseite / M3-Gewinde</t>
  </si>
  <si>
    <t>Feder unten auf dem Senkungsboden des GFK-Rings</t>
  </si>
  <si>
    <t>Inhaltscenter</t>
  </si>
  <si>
    <t>Längen siehe Parameter</t>
  </si>
  <si>
    <t>Abdeckblech 1</t>
  </si>
  <si>
    <t>NEU v6</t>
  </si>
  <si>
    <t>z_tr_oben  (= 4,5, steht auf der Frontplatte)</t>
  </si>
  <si>
    <t>Achse untere Bohrung</t>
  </si>
  <si>
    <t>Achse Radialgewinde 130°</t>
  </si>
  <si>
    <t>Kontrolle: die zweite untere Bohrung trifft 210°</t>
  </si>
  <si>
    <t>Abdeckblech 2 und 3</t>
  </si>
  <si>
    <t>wie 25 bis 27</t>
  </si>
  <si>
    <t>Gewinde 250° bzw. 10°</t>
  </si>
  <si>
    <t>zweite Bohrung 330° bzw. 90°</t>
  </si>
  <si>
    <t>legt die Winkel der Durchführungen fest</t>
  </si>
  <si>
    <t>z_dk_u  (= 86,8)</t>
  </si>
  <si>
    <t>Bohrungen Blech oben</t>
  </si>
  <si>
    <t>sonst Deckel-XY falsch herum</t>
  </si>
  <si>
    <t>Stecker</t>
  </si>
  <si>
    <t>Achse / Flansch</t>
  </si>
  <si>
    <t>Bohrung / Oberseite</t>
  </si>
  <si>
    <t>SHV und Swagelok-Schottmutter von außen, N-Buchse mit Flansch von innen</t>
  </si>
  <si>
    <t>alles</t>
  </si>
  <si>
    <t>Prüfen &gt; Störung analysieren</t>
  </si>
  <si>
    <t>nur O-Ringe und der Dichtring der N-Buchse dürfen sich überschneiden</t>
  </si>
  <si>
    <t>Spulenstäbe (STEP)</t>
  </si>
  <si>
    <t>alte Spulenstäbe und Spule löschen</t>
  </si>
  <si>
    <t>Delete</t>
  </si>
  <si>
    <t>GEÄNDERT v9. Die STEPs bis v8b liegen 0,7 zu tief und stecken in der Lippe. Neu einsetzen: Assemble &gt; Place &gt; Place Imported CAD Files &gt; RFN_Spulenstaebe.step</t>
  </si>
  <si>
    <t>Y Axis</t>
  </si>
  <si>
    <t>Mate</t>
  </si>
  <si>
    <t>Die STEPs liegen schon im Baugruppensystem, Ursprung = Blendenunterseite</t>
  </si>
  <si>
    <t>XY Plane</t>
  </si>
  <si>
    <t>Mate, Solution Flush, Offset 0</t>
  </si>
  <si>
    <t>Drehlage. KEIN Winkel nötig, die 140° stecken schon im STEP</t>
  </si>
  <si>
    <t>Unterseite eines Stabs</t>
  </si>
  <si>
    <t>Oberseite der Lippe</t>
  </si>
  <si>
    <t>Mate, Solution Mate, Offset 0</t>
  </si>
  <si>
    <t>Höhe. Statt XZ Plane, damit die Stäbe der Lippe folgen. Kontrolle: Abstand Stabunterseite zu XZ Plane Blende 11,9</t>
  </si>
  <si>
    <t>Spule (STEP)</t>
  </si>
  <si>
    <t>XY / XZ / YZ Plane</t>
  </si>
  <si>
    <t>Spulenstäbe</t>
  </si>
  <si>
    <t>drei Mal Mate, Solution Flush, Offset 0</t>
  </si>
  <si>
    <t>Spule hängt an den Stäben. Beide STEPs haben denselben Ursprung, deshalb Offset 0. Kontrolle: Wendelanfang Drahtmitte X −21,91 / Y 14,55 / Z −18,38</t>
  </si>
  <si>
    <t>Spulenstäbe (eigenes Teil)</t>
  </si>
  <si>
    <t>Y Axis / Unterseite / XY Plane</t>
  </si>
  <si>
    <t>Blende / GFK-Ring / Blende</t>
  </si>
  <si>
    <t>Y Axis / Lippe oben / XY Plane</t>
  </si>
  <si>
    <t>Mate / Mate / Angle mit Explicit Reference Vector = Y Axis</t>
  </si>
  <si>
    <t>nur wenn du die Stäbe selbst nach Anleitung gebaut hast (Y = 0 an der Unterseite). Winkel w_go_spule (140)</t>
  </si>
  <si>
    <t>Spule (eigenes Teil)</t>
  </si>
  <si>
    <t>Y Axis / XZ Plane / XY Plane</t>
  </si>
  <si>
    <t>Mate / Flush, Offset 1,15 / Flush, Offset 0</t>
  </si>
  <si>
    <t>Offset t_stab_boden + (b_nut_spule - d_draht)/2 = 1,15. Drehlage XY auf XY, weil Wendelanfang und Nutanfang beide auf +X liegen</t>
  </si>
  <si>
    <t>Spule, Stäbe, GFK-Ring</t>
  </si>
  <si>
    <t>Inspect &gt; Analyze Interference</t>
  </si>
  <si>
    <t>keine Überschneidung. Inspect &gt; Measure Spule zu Lippe: 1,15. Spule zu Bohrung Ø60,8: 0,3</t>
  </si>
  <si>
    <t>Werkstoff- und Federwerte, nicht mit Inventor verknuepft</t>
  </si>
  <si>
    <t>alpha_st</t>
  </si>
  <si>
    <t>Edelstahl 1.4301, linearer Ausdehnungskoeffizient</t>
  </si>
  <si>
    <t>alpha_q</t>
  </si>
  <si>
    <t>Quarzglas</t>
  </si>
  <si>
    <t>alpha_gfk</t>
  </si>
  <si>
    <t>GFK in Faserrichtung (Ringebene)</t>
  </si>
  <si>
    <t>alpha_mo</t>
  </si>
  <si>
    <t>Molybdaen</t>
  </si>
  <si>
    <t>dT</t>
  </si>
  <si>
    <t>Temperaturhub fuer die Pruefungen, von 20 auf 170 Grad C. Nach COMSOL anpassen</t>
  </si>
  <si>
    <t>c_fe</t>
  </si>
  <si>
    <t>N/mm</t>
  </si>
  <si>
    <t>Federrate der Druckfedern, Platzhalter bis zur Katalogwahl (v5: vorher 12)</t>
  </si>
  <si>
    <t>dh_glas</t>
  </si>
  <si>
    <t>Angenommene Abweichung der Glasfusshoehe</t>
  </si>
  <si>
    <t>Rechenwerte</t>
  </si>
  <si>
    <t>F_feder</t>
  </si>
  <si>
    <t>N</t>
  </si>
  <si>
    <t>Kraft je Feder</t>
  </si>
  <si>
    <t>F_gesamt</t>
  </si>
  <si>
    <t>Summe aller Federn, haelt das Glas auf der Blende</t>
  </si>
  <si>
    <t>dF_glas</t>
  </si>
  <si>
    <t>Kraftaenderung je Feder, wenn der Glasfuss um dh_glas abweicht</t>
  </si>
  <si>
    <t>p_auflage</t>
  </si>
  <si>
    <t>MPa</t>
  </si>
  <si>
    <t>Flaechenpressung Glasboden auf Blende (Fase vernachlaessigt)</t>
  </si>
  <si>
    <t>s_or_r_warm</t>
  </si>
  <si>
    <t>Radiale Verpressung warm (dT_or), Ring und Nut dehnen sich aus</t>
  </si>
  <si>
    <t>f_or_r</t>
  </si>
  <si>
    <t>Fuellgrad Radialnut kalt</t>
  </si>
  <si>
    <t>f_or_r_warm</t>
  </si>
  <si>
    <t>Fuellgrad Radialnut warm, FFKM dehnt sich, Nut wird breiter</t>
  </si>
  <si>
    <t>s_or_f</t>
  </si>
  <si>
    <t>Verpressung Flach-O-Ring</t>
  </si>
  <si>
    <t>f_or_f</t>
  </si>
  <si>
    <t>Fuellgrad Flachnut</t>
  </si>
  <si>
    <t>dehn_or_f</t>
  </si>
  <si>
    <t>Dehnung Flach-O-Ring auf dem Nutgrund</t>
  </si>
  <si>
    <t>dehn_or_r</t>
  </si>
  <si>
    <t>Dehnung radialer O-Ring auf dem Glasfuss</t>
  </si>
  <si>
    <t>dr_mo_gfk</t>
  </si>
  <si>
    <t>Verschiebung GFK gegen Blende am M2-Lochkreis, warm</t>
  </si>
  <si>
    <t>Pruefungen. Jede Zeile muss ok zeigen, sonst die Eingaben im Blatt Parameter aendern.</t>
  </si>
  <si>
    <t>Pruefung</t>
  </si>
  <si>
    <t>Soll min</t>
  </si>
  <si>
    <t>Soll max</t>
  </si>
  <si>
    <t>Status</t>
  </si>
  <si>
    <t>Warum</t>
  </si>
  <si>
    <t>Luft GFK-Ring oben zu Stahl</t>
  </si>
  <si>
    <t>Darf nie null werden, sonst wird der GFK-Ring zum zweiten Anschlag</t>
  </si>
  <si>
    <t>Luft im ungünstigsten Fall</t>
  </si>
  <si>
    <t>Toleranzkette ±0,12 abgezogen</t>
  </si>
  <si>
    <t>Radiale Verpressung kalt</t>
  </si>
  <si>
    <t>Statische Radialdichtung</t>
  </si>
  <si>
    <t>Radiale Verpressung, Glas ganz außermittig, min</t>
  </si>
  <si>
    <t>Glas liegt auf einer Seite am Träger an</t>
  </si>
  <si>
    <t>Radiale Verpressung, Glas ganz außermittig, max</t>
  </si>
  <si>
    <t>Gegenseite</t>
  </si>
  <si>
    <t>Glas berührt den Stahl nie</t>
  </si>
  <si>
    <t>Träger zentriert, Stahl hat mehr Luft</t>
  </si>
  <si>
    <t>Radiale Verpressung warm</t>
  </si>
  <si>
    <t>Bei dT_or: Stahlnut wächst, FFKM-Schnur auch</t>
  </si>
  <si>
    <t>Füllgrad Radialnut</t>
  </si>
  <si>
    <t>kalt</t>
  </si>
  <si>
    <t>Füllgrad Radialnut warm</t>
  </si>
  <si>
    <t>FFKM dehnt sich stärker als FKM, unter 90 % bleiben</t>
  </si>
  <si>
    <t>Radialnut über dem Glaszylinder unten</t>
  </si>
  <si>
    <t>Nut darf nicht über der Glasfase liegen</t>
  </si>
  <si>
    <t>Radialnut unter der Fußoberseite</t>
  </si>
  <si>
    <t>Nut muss vollständig am Glaszylinder liegen</t>
  </si>
  <si>
    <t>Steg Stahl über der Radialnut</t>
  </si>
  <si>
    <t>Restwand oben</t>
  </si>
  <si>
    <t>Wand zwischen Flachnut und Radialnut</t>
  </si>
  <si>
    <t>Beide Nuten überlappen radial</t>
  </si>
  <si>
    <t>Fuge ist fest verschraubt, Ring auf Block</t>
  </si>
  <si>
    <t>Füllgrad Flachnut</t>
  </si>
  <si>
    <t>Dehnung Flach-O-Ring</t>
  </si>
  <si>
    <t>Hält den Ring beim Montieren in der Nut</t>
  </si>
  <si>
    <t>Flachnut zur Stahlbohrung</t>
  </si>
  <si>
    <t>Restwand innen</t>
  </si>
  <si>
    <t>Flachnut zu den M2,5-Durchgängen</t>
  </si>
  <si>
    <t>Die Durchgänge müssen außerhalb der Dichtung liegen</t>
  </si>
  <si>
    <t>M2,5-Senkung zur Radialnut</t>
  </si>
  <si>
    <t>Senkung auf Höhe der Nut-Oberkante gemessen</t>
  </si>
  <si>
    <t>M2-Senkkopf bündig</t>
  </si>
  <si>
    <t>Kopf darf nicht aus dem Klemmring stehen</t>
  </si>
  <si>
    <t>M2,5-Senkkopf bündig</t>
  </si>
  <si>
    <t>Kopf darf nicht über den Stahlring stehen, dort sind nur 0,3 mm Luft zum GFK-Ring</t>
  </si>
  <si>
    <t>Träger: Einsatz M2 zur Innenbohrung</t>
  </si>
  <si>
    <t>GFK-Restwand</t>
  </si>
  <si>
    <t>Träger: Wand um die Tasche</t>
  </si>
  <si>
    <t>Isolation Klemmring gegen Frontplatte</t>
  </si>
  <si>
    <t>Träger: GFK über Einsatz M2</t>
  </si>
  <si>
    <t>M2 auf Blendenpotential, darüber Stahl</t>
  </si>
  <si>
    <t>Träger: GFK zwischen Einsatz M2,5 und Tasche</t>
  </si>
  <si>
    <t>M2,5 auf Stahlpotential, Klemmring auf Blendenpotential</t>
  </si>
  <si>
    <t>Träger: GFK zwischen Einsatz M2,5 und Platte</t>
  </si>
  <si>
    <t>Platte und Stahl gleiches Potential, nur mechanisch</t>
  </si>
  <si>
    <t>M2,5 nicht auf dem Lochkreis der M3</t>
  </si>
  <si>
    <t>Beide jetzt auf Ø76</t>
  </si>
  <si>
    <t>Blende: Steg außen am Klemmloch</t>
  </si>
  <si>
    <t>Blende: Lochfeld in der Glasbohrung</t>
  </si>
  <si>
    <t>Kein Loch unter dem Glasboden</t>
  </si>
  <si>
    <t>Klemmring: Senkkopf im Ring</t>
  </si>
  <si>
    <t>Klemmring: Senkkopf in der Dicke</t>
  </si>
  <si>
    <t>Kopf bündig versenkt</t>
  </si>
  <si>
    <t>Einschraubtiefe M2 Klemmung</t>
  </si>
  <si>
    <t>Mindestens 0,75 d im Einsatz</t>
  </si>
  <si>
    <t>M2 Klemmung nicht zu lang</t>
  </si>
  <si>
    <t>Schraube darf nicht auf den Bohrgrund</t>
  </si>
  <si>
    <t>Einschraubtiefe M2,5 Träger</t>
  </si>
  <si>
    <t>M2,5: Schraubenspitze bleibt im Träger</t>
  </si>
  <si>
    <t>Durchgangsloch, Spitze darf hinten nicht herausstehen</t>
  </si>
  <si>
    <t>M2,5: Einschraubtiefe im Einsatz</t>
  </si>
  <si>
    <t>in d, mindestens 1d</t>
  </si>
  <si>
    <t>Einschraubtiefe M3 Federschraube</t>
  </si>
  <si>
    <t>Im Stahl, durchgehendes Gewinde</t>
  </si>
  <si>
    <t>M3 Federschraube steht nicht unten raus</t>
  </si>
  <si>
    <t>Spitze bleibt im Stahl, berührt den Träger nicht</t>
  </si>
  <si>
    <t>Einschraubtiefe M2 Befestigung</t>
  </si>
  <si>
    <t>M2 Befestigung nicht zu lang</t>
  </si>
  <si>
    <t>Spitze bleibt in der Platte</t>
  </si>
  <si>
    <t>Platte: Wand Bohrung zu M2-Einsatz</t>
  </si>
  <si>
    <t>Befestigungskopf zum Abdeckblech</t>
  </si>
  <si>
    <t>Knapp, im CAD nachsehen</t>
  </si>
  <si>
    <t>GFK-Ring: Federsenkung zum Rand</t>
  </si>
  <si>
    <t>GFK-Ring: Federsenkung zur Innenkante</t>
  </si>
  <si>
    <t>Zur Glassenkung</t>
  </si>
  <si>
    <t>Federweg vorhanden</t>
  </si>
  <si>
    <t>Federkraft gesamt</t>
  </si>
  <si>
    <t>Hält das Glas auf der Blende, auch gegen ca. 30 N beim Abpumpen</t>
  </si>
  <si>
    <t>Feder nicht auf Block am Anschlag</t>
  </si>
  <si>
    <t>GFK-Ring auf dem Stahl, Feder noch frei</t>
  </si>
  <si>
    <t>Federscheibe in der Senkung</t>
  </si>
  <si>
    <t>Federscheibe über der Hülse</t>
  </si>
  <si>
    <t>Feder über der Hülse</t>
  </si>
  <si>
    <t>Feder in der Senkung</t>
  </si>
  <si>
    <t>Federkopf über dem GFK-Ring</t>
  </si>
  <si>
    <t>Positiv = steht über. Platz zu Spule und Abdeckung prüfen</t>
  </si>
  <si>
    <t>Kraftänderung je Feder bei ±0,1</t>
  </si>
  <si>
    <t>Material hinter der Blende</t>
  </si>
  <si>
    <t>Alter Stand 1,9 mm</t>
  </si>
  <si>
    <t>Platte nicht hinter dem Klemmring</t>
  </si>
  <si>
    <t>Plattenrückseite bündig oder knapp dahinter</t>
  </si>
  <si>
    <t>Wärmeverschiebung am M2-Lochkreis</t>
  </si>
  <si>
    <t>Muss kleiner sein als das Spiel in den Blendenlöchern</t>
  </si>
  <si>
    <t>Spiel Blendenloch je Seite</t>
  </si>
  <si>
    <t>Gegen die Wärmeverschiebung</t>
  </si>
  <si>
    <t>Klemmring: Stahl außen um Kontaktgewinde</t>
  </si>
  <si>
    <t>Restwand der Lasche um das Gewinde</t>
  </si>
  <si>
    <t>Träger: GFK Freistich zur Plattenbohrung</t>
  </si>
  <si>
    <t>Isolation Lasche (Blendenpotential) gegen Frontplatte</t>
  </si>
  <si>
    <t>Stahlring: Hülsenbohrung zur Flachnut</t>
  </si>
  <si>
    <t>Wand zwischen Keramikhülse und Dichtung</t>
  </si>
  <si>
    <t>Träger: Bolzenbohrung passt zum Bolzen</t>
  </si>
  <si>
    <t>Durchgang für den Kontaktbolzen</t>
  </si>
  <si>
    <t>Keramikhülse passt zum Bolzen</t>
  </si>
  <si>
    <t>Radialgewinde: Winkelabstand zu den M3</t>
  </si>
  <si>
    <t>Gilt auch für das zweite Gewinde, solange dw_rad ein Vielfaches von 40 ist</t>
  </si>
  <si>
    <t>Radialgewinde: Winkelabstand zu Befestigung, Stift, Hülse</t>
  </si>
  <si>
    <t>Diese liegen alle mittig zwischen zwei M3</t>
  </si>
  <si>
    <t>Radialgewinde: Wand zur Oberseite</t>
  </si>
  <si>
    <t>M3, Nenndurchmesser 3</t>
  </si>
  <si>
    <t>Radialgewinde: Wand zur Unterseite</t>
  </si>
  <si>
    <t>Blende: Kerbe für den Kontaktbolzen, Tiefe</t>
  </si>
  <si>
    <t>Positiv = Kerbe nötig. Ohne Kerbe würde der Bolzen den Blendenrand schneiden</t>
  </si>
  <si>
    <t>Radialgewinde: Wand zur Radialnut</t>
  </si>
  <si>
    <t>Bohrgrund bis O-Ring-Nut</t>
  </si>
  <si>
    <t>GFK-Ring: Bohrung räumt die Hohlkehle des Glases</t>
  </si>
  <si>
    <t>GEÄNDERT v7: die Bohrung liegt jetzt weit außerhalb der R1-Rundung</t>
  </si>
  <si>
    <t>GFK-Ring: Auflagebreite auf dem Glasfuß</t>
  </si>
  <si>
    <t>GEÄNDERT v9: mit Lippe wieder fast die ganze Fußoberseite</t>
  </si>
  <si>
    <t>Freistich-Ecke: Fräser nicht zu klein</t>
  </si>
  <si>
    <t>Ø1 ist das Minimum für GFK</t>
  </si>
  <si>
    <t>Laschenecke: Stahl um das Kontaktgewinde</t>
  </si>
  <si>
    <t>Rundung frisst nicht in die Wand um das M2,5</t>
  </si>
  <si>
    <t>Schlitz Klemmring: fräsbar</t>
  </si>
  <si>
    <t>Fräser Ø1 in 1,5 mm Edelstahl</t>
  </si>
  <si>
    <t>Laschenfuß passt am Freistich-Eingang vorbei</t>
  </si>
  <si>
    <t>Luft zwischen Rundung am Laschenfuss und Fase im Traeger, diagonal gemessen</t>
  </si>
  <si>
    <t>Entlüftung: Steg Flachnut zur Entlüftungsnut</t>
  </si>
  <si>
    <t>Auflage Stahl auf Träger außerhalb der Dichtung</t>
  </si>
  <si>
    <t>Entlüftung: Nut schneidet die M3</t>
  </si>
  <si>
    <t>Überdeckung mit dem Kernloch Ø2,5</t>
  </si>
  <si>
    <t>Entlüftung: Nut schneidet die M2,5-Durchgänge</t>
  </si>
  <si>
    <t>Entlüftung: Nut schneidet die Hülsenbohrung</t>
  </si>
  <si>
    <t>Entlüftung: Nut endet auf dem Träger</t>
  </si>
  <si>
    <t>Darf nicht bis zur Fuge Träger / Platte reichen</t>
  </si>
  <si>
    <t>Entlüftung: Bohrung Ø1 in der Nut</t>
  </si>
  <si>
    <t>Entlüftung: Bohrung Ø1 neben der Trägertasche</t>
  </si>
  <si>
    <t>Bohrung muss hinten im GFK austreten, nicht in der Tasche</t>
  </si>
  <si>
    <t>Entlüftung: Stahl-Kerbe reicht in die Flachnut</t>
  </si>
  <si>
    <t>Kerbenende liegt in der Nut, nicht in der Innenwand</t>
  </si>
  <si>
    <t>Entlüftung: Stahl zwischen Klemmring-Kerbe und Senkung</t>
  </si>
  <si>
    <t>Direkt an der Bohrung, 90°-Senkung</t>
  </si>
  <si>
    <t>Entlüftung: Träger-Querkerbe länger als der Hülsenfuß</t>
  </si>
  <si>
    <t>Entlüftung: Träger-Querkerbe zur Flachnut</t>
  </si>
  <si>
    <t>Kerbe darf nicht in Richtung Dichtung laufen</t>
  </si>
  <si>
    <t>Entlüftung radial: Bohrung trifft das radiale Gewinde</t>
  </si>
  <si>
    <t>Überdeckung mit dem zylindrischen Teil der Radialbohrung</t>
  </si>
  <si>
    <t>Entlüftung radial: Bohrung reicht in die Höhe</t>
  </si>
  <si>
    <t>Kernloch Ø2,5</t>
  </si>
  <si>
    <t>Entlüftung radial: Bohrung öffnet in die Nut</t>
  </si>
  <si>
    <t>Blech: untere Bohrung zur Unterkante</t>
  </si>
  <si>
    <t>NEU v6: Reststeg. Vorher 2,4, jetzt knapp, weil das Radialgewinde im Stahlring tiefer sitzt. Abscherkraft je Bohrung noch über 200 N</t>
  </si>
  <si>
    <t>Blech: obere Bohrung zur Oberkante</t>
  </si>
  <si>
    <t>Deckel: Radialgewinde zur Schulter</t>
  </si>
  <si>
    <t>NEU v6: M3 Nenndurchmesser</t>
  </si>
  <si>
    <t>Deckel: Radialgewinde zur Zapfenunterkante</t>
  </si>
  <si>
    <t>Einschraubtiefe M3 radial im Stahl</t>
  </si>
  <si>
    <t>NEU v6: mindestens 0,8 d</t>
  </si>
  <si>
    <t>M3 radial nicht auf dem Gewindegrund</t>
  </si>
  <si>
    <t>NEU v6: Sackgewinde im Stahlring. M3 x 6 ohne Scheibe wäre 1 mm zu lang</t>
  </si>
  <si>
    <t>M3 radial im Deckel: Spitze bleibt in der Wand</t>
  </si>
  <si>
    <t>NEU v6: keine Schraubenspitze im Kabelraum</t>
  </si>
  <si>
    <t>Blech zum GFK-Ring oben</t>
  </si>
  <si>
    <t>HV-Abstand Kabelschuh zum Blech</t>
  </si>
  <si>
    <t>NEU v6: Kabelschuh tangential ausrichten, nicht nach außen. Bei mehr als 1 kV Blendenspannung nachrechnen</t>
  </si>
  <si>
    <t>Fuge zwischen den Blechen</t>
  </si>
  <si>
    <t>NEU v6: Entlüftung des Innenraums</t>
  </si>
  <si>
    <t>N-Flansch zur Deckelbohrung</t>
  </si>
  <si>
    <t>NEU v6: bei d_dk_lk 60 waren es −1,0</t>
  </si>
  <si>
    <t>Swagelok-Sechskant zur Deckelbohrung</t>
  </si>
  <si>
    <t>NEU v6: Platz für den Schlüssel</t>
  </si>
  <si>
    <t>Durchführungen: N zum Nachbarn</t>
  </si>
  <si>
    <t>NEU v6: Nachbarn liegen 90° auseinander</t>
  </si>
  <si>
    <t>SHV-Abflachung schneidet die Bohrung</t>
  </si>
  <si>
    <t>NEU v6: Verdrehsicherung</t>
  </si>
  <si>
    <t>N-Doppel-D schneidet die Bohrung</t>
  </si>
  <si>
    <t>GFK-Ring: Pressung auf dem Glasfuß</t>
  </si>
  <si>
    <t>Federkraft auf die Auflage. GEÄNDERT v9: Fläche mit Lippe</t>
  </si>
  <si>
    <t>GFK-Ring: Zentrierung auf dem Glasfuß</t>
  </si>
  <si>
    <t>NEU v7: hält die Auflagebreite rundum gleich</t>
  </si>
  <si>
    <t>GFK-Ring: Zentrierung enger als Hülsenspiel</t>
  </si>
  <si>
    <t>NEU v7: sonst bestimmen Glas und Schrauben die Lage gleichzeitig</t>
  </si>
  <si>
    <t>Spule: Luft zur GFK-Bohrung kalt</t>
  </si>
  <si>
    <t>NEU v7: Berühren wäre elektrisch erlaubt, aber die Spule wird etwa 300 °C heiß</t>
  </si>
  <si>
    <t>Spule: Luft zur GFK-Bohrung warm</t>
  </si>
  <si>
    <t>NEU v7: Kupfer bei dT_or, GFK bei dT</t>
  </si>
  <si>
    <t>Spule: Abstand zur Innenkante Edelstahlring</t>
  </si>
  <si>
    <t>GEÄNDERT v8: Höhe aus den Spulenstäben</t>
  </si>
  <si>
    <t>Spule: Abstand zu den Federschraubenköpfen</t>
  </si>
  <si>
    <t>NEU v7: Metall auf Masse</t>
  </si>
  <si>
    <t>Spule: Abstand zum Kabelschuh am Kontakt</t>
  </si>
  <si>
    <t>NEU v7: Metall auf Blendenpotential, nächster Leiter</t>
  </si>
  <si>
    <t>Spule: Anschlussnut zur Federsenkung</t>
  </si>
  <si>
    <t>NEU v7: radial gerechnet, ungünstigster Fall</t>
  </si>
  <si>
    <t>Spule: Anschlussnut nicht auf einer Federschraube</t>
  </si>
  <si>
    <t>NEU v7</t>
  </si>
  <si>
    <t>Stäbe: Steg unter der Wendelnut</t>
  </si>
  <si>
    <t>NEU v8: dünnste Stelle, Rohr beim Gewindedrehen innen stützen</t>
  </si>
  <si>
    <t>Stäbe: Zahn zwischen zwei Windungen</t>
  </si>
  <si>
    <t>NEU v8: bei Steigung 4,29 wären es nur 1,0</t>
  </si>
  <si>
    <t>Stäbe: Draht liegt tief genug in der Nut</t>
  </si>
  <si>
    <t>NEU v8: Anteil des Drahtdurchmessers in der Nut</t>
  </si>
  <si>
    <t>Stäbe: Luft zur GFK-Ring-Bohrung</t>
  </si>
  <si>
    <t>NEU v8</t>
  </si>
  <si>
    <t>Stäbe stehen über der Hohlkehle des Glases</t>
  </si>
  <si>
    <t>GEÄNDERT v9: Stäbe stehen auf der Lippe, oberhalb der R1-Rundung</t>
  </si>
  <si>
    <t>Stäbe: Standfläche auf der Lippe</t>
  </si>
  <si>
    <t>GEÄNDERT v9</t>
  </si>
  <si>
    <t>Lippe: Fase räumt die Hohlkehle des Glases</t>
  </si>
  <si>
    <t>NEU v9: 45°-Fase außerhalb der R1-Rundung</t>
  </si>
  <si>
    <t>Spule: Lücke zwischen den Windungen</t>
  </si>
  <si>
    <t>NEU v8: Spannungsfestigkeit und Proximityverluste</t>
  </si>
  <si>
    <t>Spule: unterste Windung über der Lippe</t>
  </si>
  <si>
    <t>Anschluss unten: Luft zu den Windungen</t>
  </si>
  <si>
    <t>NEU v8b: läuft außen an allen Windungen vorbei</t>
  </si>
  <si>
    <t>Anschluss unten: passt in die Nut des GFK-Rings</t>
  </si>
  <si>
    <t>NEU v8b</t>
  </si>
  <si>
    <t>Anschluss unten: Abstand zu den Federschraubenköpfen</t>
  </si>
  <si>
    <t>NEU v8b: Metall auf Masse</t>
  </si>
  <si>
    <t>Stäbe neben den Anschlüssen</t>
  </si>
  <si>
    <t>NEU v8b: kein Stab dort, wo ein Anschluss die Wendel verlässt</t>
  </si>
  <si>
    <t>Änderungsverzeichnis. Zeilennummern im Blatt Parameter sind Teil der Schnittstelle zu Inventor.</t>
  </si>
  <si>
    <t>Version</t>
  </si>
  <si>
    <t>Datum</t>
  </si>
  <si>
    <t>Art</t>
  </si>
  <si>
    <t>Was und warum</t>
  </si>
  <si>
    <t>v1</t>
  </si>
  <si>
    <t>20.10.2026</t>
  </si>
  <si>
    <t>Neuanlage</t>
  </si>
  <si>
    <t>Parameter für die neue untere Aufnahme (Blendenaufnahme Version 5): Blende als Wechselteil, Klemmring, GFK-Träger, Edelstahlring mit radialem und flachem O-Ring, federnder GFK-Ring oben, Frontplatte. 132 Parameter in A2 bis D133.</t>
  </si>
  <si>
    <t>Regel</t>
  </si>
  <si>
    <t>Ab jetzt nie umsortieren und nie dazwischen einfügen. Neue Parameter nur unten anhängen. So ist in v6 der alten Datei die Zuordnung verloren gegangen.</t>
  </si>
  <si>
    <t>Abgrenzung</t>
  </si>
  <si>
    <t>Die alte RFN_Dichtung_Parameter.xlsx (v8) bleibt mit Ring_unten_3 und dem alten Isolierring verknüpft und wird nicht weiter gepflegt.</t>
  </si>
  <si>
    <t>Offen</t>
  </si>
  <si>
    <t>d_glas_fuss und h_glas_fuss sind Nennwerte aus dem STEP. Nach dem Messen eintragen, dann rechnet sich die Radialnut neu. Federwerte sind Platzhalter bis zur Katalogwahl.</t>
  </si>
  <si>
    <t>v2</t>
  </si>
  <si>
    <t>21.10.2026</t>
  </si>
  <si>
    <t>Kontaktbolzen M3 auf M2,5. r_kontakt 37,5 auf 37,0, r_kr_lasche 39,5 auf 39,0, d_tr_bolzen 3,6 auf 3,0, h_mu 2,4 auf 2,0. Grund: bei M3 blieben nur 0,5 mm Stahl um das Laschengewinde und 0,3 mm GFK zwischen Freistich und Frontplatte. Jetzt 0,75 und 0,8 mm.</t>
  </si>
  <si>
    <t>Neu</t>
  </si>
  <si>
    <t>d_kb in Zeile 134 angehängt. Zeilen 2 bis 133 unverändert, die Verknüpfung in Inventor bleibt bestehen.</t>
  </si>
  <si>
    <t>Prüfung</t>
  </si>
  <si>
    <t>Fünf neue Prüfungen zu Lasche, Freistich, Hülsenbohrung und Bolzendurchgängen.</t>
  </si>
  <si>
    <t>Anleitung</t>
  </si>
  <si>
    <t>Klemmring: Ring und Lasche jetzt in zwei Skizzen und zwei Extrusionen, Lasche über Konstruktionslinie und Symmetrie-Abhängigkeit.</t>
  </si>
  <si>
    <t>v2b</t>
  </si>
  <si>
    <t>Schlitz im Klemmring: Winkel über 180° lassen sich in Inventor nicht direkt bemaßen. Linie in die Gegenrichtung zeichnen und w_schlitz - 180 eintragen. Im ersten Modell lag der Schlitz dadurch bei 340° statt 200°.</t>
  </si>
  <si>
    <t>Skizzen auf Flächen, die nach -Y zeigen, spiegeln alle Winkel. Im zweiten Klemmring-Modell lagen die M2 dadurch bei 10°, 70° ... statt 50°, 110° ... Klemmring Schritt 15 und Träger Schritte 4 und 6 jetzt auf XZ-Ebene bzw. Arbeitsebene.</t>
  </si>
  <si>
    <t>Erster Träger: Freistich bei 160°, Bolzen bei 340°, M2 bei 10°/70° …, weil Winkelmaße in Inventor kein Vorzeichen haben. Vorbereitung 7 enthält jetzt eine Regel über das Achsenkreuz. Außerdem t_tr_tasche von oben statt von unten bemaßt, Taschenboden lag bei 3,5 statt 2,0.</t>
  </si>
  <si>
    <t>v3</t>
  </si>
  <si>
    <t>w_rad, dw_rad, n_bl in Zeilen 135 bis 137 angehängt. Radiale Gewinde für die Abdeckbleche. In Ring_unten lagen sie mittig zwischen zwei M3, dort sitzen jetzt Befestigung, Passstift und Keramikhülse. Deshalb 10° daneben, bei 90°/130°, 210°/250°, 330°/10°.</t>
  </si>
  <si>
    <t>Die Gewinde liegen 2,75 mm über der Unterkante der Bleche, in Ring_unten waren es 4,0. Die Bleche brauchen neue Löcher oder Langlöcher.</t>
  </si>
  <si>
    <t>Edelstahlring neu: Grundkörper als Rechteck, Nuten als Dreh-Schnitte, alle Bohrungen von oben aus einer freigegebenen Sammelskizze.</t>
  </si>
  <si>
    <t>v3b</t>
  </si>
  <si>
    <t>d_m2_senk 3,8 auf 4,4 und d_m25_senk 4,7 auf 5,5. Vorher stand dort der tatsächliche Kopfdurchmesser, dann ragen die Köpfe 0,3 bzw. 0,4 mm heraus. Am Stahlring hätte der Kopf den GFK-Ring berührt. Jetzt der theoretische Kopfdurchmesser nach ISO 14581, die Köpfe sitzen bündig.</t>
  </si>
  <si>
    <t>d_lk_m2 67,5 auf 67,0, damit die größere Senkung im Klemmring 0,3 mm vom Rand bleibt. Wirkt auf Blende, Klemmring und Träger.</t>
  </si>
  <si>
    <t>Senkung zur Radialnut jetzt auf Höhe der Nut gemessen, zwei Prüfungen für bündige Senkköpfe.</t>
  </si>
  <si>
    <t>zug_gew und tb_m3_rad in Zeilen 138 und 139. Bohrtiefe der radialen M3 getrennt von der Gewindetiefe.</t>
  </si>
  <si>
    <t>v3c</t>
  </si>
  <si>
    <t>Befund</t>
  </si>
  <si>
    <t>Der Kontaktbolzen M2,5 bei r 37 reicht bis r 35,75, die Blende bis r 36. Er hätte den Blendenrand um 0,25 mm geschnitten. Neu: Kerbe in der Blende, sp_kerbe und r_bl_kerbe in Zeilen 140 und 141, dazu eine Prüfung.</t>
  </si>
  <si>
    <t>v3d</t>
  </si>
  <si>
    <t>Glasfuß Ø62 hatte im Träger 0,5 und im Stahlring 1,0 mm radiales Spiel. Für den radialen O-Ring zu viel: bei voll außermittigem Glas wäre er auf einer Seite gar nicht mehr verpresst. Neu: d_tr_i und d_st_i als Formel aus d_glas_fuss, sp_glas_tr 0,1 und sp_glas_st 0,3 in Zeilen 142 und 143. Träger Ø62,2, Stahlring Ø62,6. Drei neue Prüfungen.</t>
  </si>
  <si>
    <t>v4</t>
  </si>
  <si>
    <t>22.10.2026</t>
  </si>
  <si>
    <t>Entlüftung der eingeschlossenen Volumen, 17 Parameter in Zeilen 144 bis 160 (Gruppe Entlueftung). Stahlring: flache Entlüftungsnut Ø73 bis Ø77 auf der Unterseite, schneidet M3, M2,5 und Hülsenbohrung, dazu drei Kerben von der Flachnut zur Entlüftungsnut. Träger: drei Bohrungen Ø1 auf Ø75 nach hinten, Querkerbe unter dem Hülsenfuß. Klemmring: Kerbe oben an jeder M2-Bohrung nach außen.</t>
  </si>
  <si>
    <t>Elf neue Prüfungen zur Entlüftung.</t>
  </si>
  <si>
    <t>Neue Schritte: Klemmring 18 bis 22, Träger 14 bis 20, Edelstahlring 24 bis 30. Stahl-Kerben als Langloch: frei zeichnen, dann Bogenmittelpunkte auf die Konstruktionslinie setzen. Normteile: ISO 4762 statt DIN 912, Kontaktbolzen selbst modelliert, Hinweise für Vakuum.</t>
  </si>
  <si>
    <t>v5</t>
  </si>
  <si>
    <t>Federn: bei 2,5 mm Einbaulänge passt in den Bauraum (innen ≥ 5,2, außen ≤ 7,8) keine Druckfeder mit mehr als 1 bis 2 N. Neu: l_fe_ein 3,8, l_fe_0 5,3, Federrate 8 N/mm, zusammen etwa 110 N. Federscheibe t_sch_u unter der Feder. Distanzhülse dadurch 5,6 lang, M3 jetzt x 10, Köpfe stehen etwa 1,9 mm über dem GFK-Ring.</t>
  </si>
  <si>
    <t>Gewindeeinsätze: Bohrtiefe ohne Anschnitt und Bohrspitze gerechnet, zu kurz. M2: Träger 0,5 höher (h_tr_ueber 4,0), Glassenkung im GFK-Ring dafür 0,4 statt 0,9, Bohrung mit flachem Grund, tb_ein_m2 3,2. M2,5: Lochkreis Ø76 statt Ø72, durchgebohrt, Einsatz 2d, Schraube M2,5 x 10.</t>
  </si>
  <si>
    <t>O-Ringe FFKM statt FKM, Verpressung 0,22 statt 0,19, Nutgrund dadurch Ø66,1. Warmprüfung bei dT_or 280 K mit Ausdehnung der Schnur. Neue Parameter in Zeilen 161 bis 175.</t>
  </si>
  <si>
    <t>Entlüftung der radialen M3 durch Bohrungen Ø1 von unten aus der Entlüftungsnut, Edelstahlring Schritte 31 bis 34.</t>
  </si>
  <si>
    <t>v5b</t>
  </si>
  <si>
    <t>GFK-Ring oben: die Bohrung Ø53 trifft die R1-Hohlkehle des Glases zwischen Fuß und Hals, der Ring säße auf der Rundung. Neu: Fase f_go_i 1,2 an der Innenkante unten, d_glas_kehle in den Parametern. Auflage bleibt 3,3 mm breit.</t>
  </si>
  <si>
    <t>Fräsbarkeit: Freistich im Träger und Laschenecken mit r_fr 1,0, Querkerbe im Träger und Randnut im GFK-Ring als Langloch. Neuer Abschnitt Fertigungshinweise. Parameter in Zeilen 176 bis 178.</t>
  </si>
  <si>
    <t>v5c</t>
  </si>
  <si>
    <t>Alle Kerben 1,5 breit statt 0,8 bzw. 1,0, ein Fräser Ø1,5 für alles. Ø0,8 in GFK verschleißt und bricht leicht.</t>
  </si>
  <si>
    <t>Laschenfuß am Klemmring: Innenecke aus dem Laserschnitt, höchstens r_kr_fuss 0,3. Im Träger Fase f_tr_frei 0,5 an den Eingangskanten des Freistichs, damit der Fuß dort nicht anliegt. Zeilen 179 und 180.</t>
  </si>
  <si>
    <t>v5d</t>
  </si>
  <si>
    <t>Klemmring wird gefräst: Schlitz b_kr_schlitz 1,0 statt 0,5, Laschenfuß r_kr_fuss 1,0 (Klemmring Schritt 24), Fase am Freistich-Eingang f_tr_frei 1,5 statt 0,5. Prüfung der Luft am Laschenfuß jetzt diagonal gerechnet.</t>
  </si>
  <si>
    <t>v6</t>
  </si>
  <si>
    <t>23.10.2026</t>
  </si>
  <si>
    <t>Abdeckbleche und Deckel. 29 Parameter in Zeilen 181 bis 209, 15 Prüfungen. Anleitung Abschnitte Abdeckblech und Deckel, Baugruppe Schritte 25 bis 33.</t>
  </si>
  <si>
    <t>Bleche: Die Frontplatte liegt jetzt 0,7 mm tiefer zum Glas. Unterkante z_tr_oben 4,5, Oberkante bleibt 93,8, also h_ab 89,3 statt 90. Untere Bohrungen 2,75 statt 4,0 über der Kante, weil das Radialgewinde mittig im 5,5 hohen Stahlring sitzt. Reststeg 1,15.</t>
  </si>
  <si>
    <t>Schrauben: alte M3 x 6 ohne Scheibe hätten 5,4 mm ins 4 mm tiefe Sackgewinde gemusst. Neu M3 x 5 mit Scheibe, 3,5 mm Einschraubtiefe. Plansenkungen im Blech entfallen.</t>
  </si>
  <si>
    <t>Deckel: In Aufhängung_RFN.stp stand der Innenflansch der N-Buchse auf Ø60 1 mm in der Wand, und der Gasschlauch endete an der SHV bei 215° statt am Gasrohr bei 35°. Lochkreis jetzt 56. Bohrungen mit D-Flächen gegen Verdrehen, Swagelok-Schottverschraubung statt durchgestecktem Rohr Ø3,1.</t>
  </si>
  <si>
    <t>Baugruppe: Versatz Edelstahlring 4,5 statt 4,0, GFK-Ring 10,3 statt 9,8 in der Tabelle nachgezogen. Die Formeln galten schon.</t>
  </si>
  <si>
    <t>v6b</t>
  </si>
  <si>
    <t>Deckel neu beschrieben: drei Extrusionen statt Linienzug, Abflachungen waagerecht statt quer zum Lochkreis, Profile beim Extrudieren wählen statt trimmen, Radialgewinde über eine versetzte XY-Ebene statt Verweis auf den Stahlring. Kontrollwerte nach jedem Abschnitt. RFN_Deckel_Referenz.step entsprechend neu.</t>
  </si>
  <si>
    <t>Abdeckblech neu beschrieben, mit Kontrollwerten und den Baugruppenschritten direkt im Abschnitt.</t>
  </si>
  <si>
    <t>v7</t>
  </si>
  <si>
    <t>24.10.2026</t>
  </si>
  <si>
    <t>GFK-Ring oben für die Spule: d_go_i jetzt Formel d_spule_a + 2·sp_spule = 60,8 statt 53. Die unterste Windung liegt 0,4 mm über dem Glasfuß und r 27,1 bis 30,1, sie läuft jetzt innen im Ring. Neue Parameter in Zeilen 210 bis 217 mit d_spule_a, d_draht, z_spule_u, sp_spule.</t>
  </si>
  <si>
    <t>d_go_senk jetzt d_glas_fuss + 2·sp_go_zent = 62,2 statt 64. Die Senkung zentriert den Ring auf dem Glasfuß, damit der schmale Auflagering rundum gleich breit bleibt. f_go_i 0,1 statt 1,2.</t>
  </si>
  <si>
    <t>Anschlussnut für das untere Spulenende, w_go_spule 140°, b_go_spule 4, bis r_go_spule_a 33,6. GFK-Ring Schritte 13 bis 15. Zehn neue Prüfungen zu Spule, Pressung und Zentrierung.</t>
  </si>
  <si>
    <t>Auflage auf dem Glas jetzt r 30,4 bis 31,0, nach der Fase 0,5 mm breit, 97 mm², 1,1 MPa bei 108 N. Rundung an der Außenkante des Glasfußes messen. Ist sie größer als 0,3 mm, Spule höher setzen oder sp_spule verkleinern.</t>
  </si>
  <si>
    <t>v8</t>
  </si>
  <si>
    <t>Spule und vier Spulenstäbe innen. Parameter in Zeilen 218 bis 235. d_spule_a jetzt Formel aus r_spule_m und d_draht. z_spule_u folgt aus den Stäben, 12,35 statt 11,1. Neun neue Prüfungen. Abschnitte Spule und Spulenstäbe, Baugruppe Schritte 34 bis 37.</t>
  </si>
  <si>
    <t>Zwischen Glas (Ø52,2) und Draht innen (Ø54,2) ist nur 1,0 mm Platz. Darum entstehen die Stäbe aus einem Rohr mit Wendelnut: Steg unter der Nut 0,95 mm, die Spule liegt im Nutgrund und hält die Stäbe gegen das Glas.</t>
  </si>
  <si>
    <t>Windungszahl und Steigung bestimmen L. Modell 5,9 Windungen bei 5 mm (Wheeler frei 2,0 µH). Der alte Halter zeigt etwa 7 Windungen bei 4,29 mm (2,8 µH). Bei 4,29 bliebe zwischen den Nuten nur 1,0 mm GFK.</t>
  </si>
  <si>
    <t>Werkstoff der Stäbe: Spule bis 300 °C, Epoxid-GFK zu schwach. Siehe Fertigungshinweis 9.</t>
  </si>
  <si>
    <t>v8b</t>
  </si>
  <si>
    <t>Anschlüsse der Spule: unten radial auf r_anschl_u 32,0 und außen hoch, oben senkrecht hoch, beide enden l_anschl über der Spule. w_stab 32 statt 0, damit kein Stab dort sitzt, wo ein Anschluss die Wendel verlässt. Vier neue Prüfungen.</t>
  </si>
  <si>
    <t>v9</t>
  </si>
  <si>
    <t>GFK-Ring mit Lippe: unten Ø54 × 1,2 unter Spule und Stäben, darüber Bohrung Ø60,8. Auflage auf dem Glas r 27,5 bis 31, 643 statt 97 mm², 0,17 MPa. Profil A bis H im GFK-Ring Schritt 2, Fase f_go_i 0,5.</t>
  </si>
  <si>
    <t>Stäbe stehen auf der Lippe statt auf dem Glas: z_stab_u 11,9, f_stab 0,3, t_stab_boden 1,0. Spule unten 13,05 statt 12,35, oben 45,55. Baugruppe Schritt 35 jetzt gegen die Lippe.</t>
  </si>
  <si>
    <t>Große Fase neben der Spule verworfen: Ein 45°-Kegel mit 0,3 mm Luft zum Draht beginnt am Glas bei r 28,0 (557 mm²), belegt aber genau die Stelle, an der die Stäbe stehen.</t>
  </si>
  <si>
    <t>v9b</t>
  </si>
  <si>
    <t>Neuer Abschnitt GFK-Ring oben, Umbau auf v9 für den Ring aus mehreren Skizzen. Baugruppe Zeilen 34 bis 41 neu: Stäbe stehen per Mate auf der Lippe, Spule hängt an den Stäben, getrennt für STEP und eigenes Teil.</t>
  </si>
  <si>
    <t>v9c</t>
  </si>
  <si>
    <t>Anschlussnut nicht mehr durch alle: t_go_spule_nut = t_go - (h_go_senk + t_go_lippe) = 4,3 von oben. Nutgrund bündig mit der Lippenoberseite, Lippe geschlossen. Der Anschluss liegt 1,15 über dem Nutgrund wie die unterste Windung über der Lippe.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</si>
</sst>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numFmt numFmtId="166" formatCode="0.0E+00"/>
    <numFmt numFmtId="167" formatCode="0.000"/>
  </numFmts>
  <fonts count="11" x14ac:knownFonts="1">
    <font>
      <sz val="11"/>
      <color theme="1"/>
      <name val="Calibri"/>
      <family val="2"/>
      <charset val="1"/>
    </font>
    <font>
      <b/>
      <sz val="10"/>
      <name val="Arial"/>
      <charset val="1"/>
    </font>
    <font>
      <sz val="10"/>
      <name val="Arial"/>
      <charset val="1"/>
    </font>
    <font>
      <b/>
      <sz val="10"/>
      <color rgb="FF0000C0"/>
      <name val="Arial"/>
      <charset val="1"/>
    </font>
    <font>
      <sz val="9"/>
      <color rgb="FF555555"/>
      <name val="Arial"/>
      <charset val="1"/>
    </font>
    <font>
      <sz val="9"/>
      <name val="Arial"/>
      <charset val="1"/>
    </font>
    <font>
      <sz val="10"/>
      <color rgb="FF000000"/>
      <name val="Arial"/>
      <charset val="1"/>
    </font>
    <font>
      <b/>
      <sz val="12"/>
      <name val="Arial"/>
      <charset val="1"/>
    </font>
    <font>
      <b/>
      <sz val="11"/>
      <color rgb="FFFFFFFF"/>
      <name val="Arial"/>
      <charset val="1"/>
    </font>
    <font>
      <sz val="10"/>
      <color rgb="FF1F4E79"/>
      <name val="Consolas"/>
      <charset val="1"/>
    </font>
    <font>
      <i/>
      <sz val="10"/>
      <color rgb="FFFFFFFF"/>
      <name val="Arial"/>
      <charset val="1"/>
    </font>
  </fonts>
  <fills count="21">
    <fill>
      <patternFill patternType="none"/>
    </fill>
    <fill>
      <patternFill patternType="gray125"/>
    </fill>
    <fill>
      <patternFill patternType="solid">
        <fgColor rgb="FFD9E1E8"/>
        <bgColor rgb="FFE3EEF8"/>
      </patternFill>
    </fill>
    <fill>
      <patternFill patternType="solid">
        <fgColor rgb="FFE8F1F5"/>
        <bgColor rgb="FFE6EEF7"/>
      </patternFill>
    </fill>
    <fill>
      <patternFill patternType="solid">
        <fgColor rgb="FFFFF2A8"/>
        <bgColor rgb="FFFDEBD3"/>
      </patternFill>
    </fill>
    <fill>
      <patternFill patternType="solid">
        <fgColor rgb="FFEEEAF5"/>
        <bgColor rgb="FFF3E8F5"/>
      </patternFill>
    </fill>
    <fill>
      <patternFill patternType="solid">
        <fgColor rgb="FFF0F0F0"/>
        <bgColor rgb="FFEEF0F4"/>
      </patternFill>
    </fill>
    <fill>
      <patternFill patternType="solid">
        <fgColor rgb="FFFBF3E6"/>
        <bgColor rgb="FFF5F5F0"/>
      </patternFill>
    </fill>
    <fill>
      <patternFill patternType="solid">
        <fgColor rgb="FFF5F5F0"/>
        <bgColor rgb="FFF0F0F0"/>
      </patternFill>
    </fill>
    <fill>
      <patternFill patternType="solid">
        <fgColor rgb="FFEAF3E3"/>
        <bgColor rgb="FFF0F0F0"/>
      </patternFill>
    </fill>
    <fill>
      <patternFill patternType="solid">
        <fgColor rgb="FFECEDEE"/>
        <bgColor rgb="FFEEF0F4"/>
      </patternFill>
    </fill>
    <fill>
      <patternFill patternType="solid">
        <fgColor rgb="FFFBE9E0"/>
        <bgColor rgb="FFFDEBD3"/>
      </patternFill>
    </fill>
    <fill>
      <patternFill patternType="solid">
        <fgColor rgb="FFF3E8F5"/>
        <bgColor rgb="FFEEEAF5"/>
      </patternFill>
    </fill>
    <fill>
      <patternFill patternType="solid">
        <fgColor rgb="FFF4EFE6"/>
        <bgColor rgb="FFF3EEE6"/>
      </patternFill>
    </fill>
    <fill>
      <patternFill patternType="solid">
        <fgColor rgb="FFE6EEF7"/>
        <bgColor rgb="FFE3EEF8"/>
      </patternFill>
    </fill>
    <fill>
      <patternFill patternType="solid">
        <fgColor rgb="FFE3EEF8"/>
        <bgColor rgb="FFE6EEF7"/>
      </patternFill>
    </fill>
    <fill>
      <patternFill patternType="solid">
        <fgColor rgb="FFEEF0F4"/>
        <bgColor rgb="FFF0F0F0"/>
      </patternFill>
    </fill>
    <fill>
      <patternFill patternType="solid">
        <fgColor rgb="FFF3EEE6"/>
        <bgColor rgb="FFF4EFE6"/>
      </patternFill>
    </fill>
    <fill>
      <patternFill patternType="solid">
        <fgColor rgb="FFFDEBD3"/>
        <bgColor rgb="FFFBE9E0"/>
      </patternFill>
    </fill>
    <fill>
      <patternFill patternType="solid">
        <fgColor rgb="FFF6EEDC"/>
        <bgColor rgb="FFF4EFE6"/>
      </patternFill>
    </fill>
    <fill>
      <patternFill patternType="solid">
        <fgColor rgb="FF2F4F5F"/>
        <bgColor rgb="FF1F4E79"/>
      </patternFill>
    </fill>
  </fills>
  <borders count="2">
    <border>
      <left/>
      <right/>
      <top/>
      <bottom/>
      <diagonal/>
    </border>
    <border>
      <left/>
      <right/>
      <top/>
      <bottom style="thin">
        <color rgb="FFC8CDD2"/>
      </bottom>
      <diagonal/>
    </border>
  </borders>
  <cellStyleXfs count="1">
    <xf numFmtId="0" fontId="0" fillId="0" borderId="0"/>
  </cellStyleXfs>
  <cellXfs count="69">
    <xf numFmtId="0" fontId="0" fillId="0" borderId="0" xfId="0"/>
    <xf numFmtId="0" fontId="1" fillId="2" borderId="0" xfId="0" applyFont="1" applyFill="1"/>
    <xf numFmtId="0" fontId="1" fillId="0" borderId="0" xfId="0" applyFont="1"/>
    <xf numFmtId="0" fontId="2" fillId="3" borderId="1" xfId="0" applyFont="1" applyFill="1" applyBorder="1"/>
    <xf numFmtId="164" fontId="3" fillId="4" borderId="1" xfId="0" applyNumberFormat="1" applyFont="1" applyFill="1" applyBorder="1"/>
    <xf numFmtId="0" fontId="4" fillId="3" borderId="1" xfId="0" applyFont="1" applyFill="1" applyBorder="1"/>
    <xf numFmtId="0" fontId="5" fillId="0" borderId="0" xfId="0" applyFont="1"/>
    <xf numFmtId="0" fontId="2" fillId="5" borderId="1" xfId="0" applyFont="1" applyFill="1" applyBorder="1"/>
    <xf numFmtId="0" fontId="4" fillId="5" borderId="1" xfId="0" applyFont="1" applyFill="1" applyBorder="1"/>
    <xf numFmtId="0" fontId="2" fillId="6" borderId="1" xfId="0" applyFont="1" applyFill="1" applyBorder="1"/>
    <xf numFmtId="0" fontId="4" fillId="6" borderId="1" xfId="0" applyFont="1" applyFill="1" applyBorder="1"/>
    <xf numFmtId="164" fontId="6" fillId="6" borderId="1" xfId="0" applyNumberFormat="1" applyFont="1" applyFill="1" applyBorder="1"/>
    <xf numFmtId="0" fontId="2" fillId="7" borderId="1" xfId="0" applyFont="1" applyFill="1" applyBorder="1"/>
    <xf numFmtId="0" fontId="4" fillId="7" borderId="1" xfId="0" applyFont="1" applyFill="1" applyBorder="1"/>
    <xf numFmtId="165" fontId="3" fillId="4" borderId="1" xfId="0" applyNumberFormat="1" applyFont="1" applyFill="1" applyBorder="1"/>
    <xf numFmtId="165" fontId="6" fillId="7" borderId="1" xfId="0" applyNumberFormat="1" applyFont="1" applyFill="1" applyBorder="1"/>
    <xf numFmtId="0" fontId="2" fillId="8" borderId="1" xfId="0" applyFont="1" applyFill="1" applyBorder="1"/>
    <xf numFmtId="0" fontId="4" fillId="8" borderId="1" xfId="0" applyFont="1" applyFill="1" applyBorder="1"/>
    <xf numFmtId="0" fontId="2" fillId="9" borderId="1" xfId="0" applyFont="1" applyFill="1" applyBorder="1"/>
    <xf numFmtId="0" fontId="4" fillId="9" borderId="1" xfId="0" applyFont="1" applyFill="1" applyBorder="1"/>
    <xf numFmtId="164" fontId="6" fillId="9" borderId="1" xfId="0" applyNumberFormat="1" applyFont="1" applyFill="1" applyBorder="1"/>
    <xf numFmtId="0" fontId="2" fillId="10" borderId="1" xfId="0" applyFont="1" applyFill="1" applyBorder="1"/>
    <xf numFmtId="164" fontId="6" fillId="10" borderId="1" xfId="0" applyNumberFormat="1" applyFont="1" applyFill="1" applyBorder="1"/>
    <xf numFmtId="0" fontId="4" fillId="10" borderId="1" xfId="0" applyFont="1" applyFill="1" applyBorder="1"/>
    <xf numFmtId="0" fontId="2" fillId="11" borderId="1" xfId="0" applyFont="1" applyFill="1" applyBorder="1"/>
    <xf numFmtId="0" fontId="4" fillId="11" borderId="1" xfId="0" applyFont="1" applyFill="1" applyBorder="1"/>
    <xf numFmtId="165" fontId="6" fillId="11" borderId="1" xfId="0" applyNumberFormat="1" applyFont="1" applyFill="1" applyBorder="1"/>
    <xf numFmtId="164" fontId="6" fillId="11" borderId="1" xfId="0" applyNumberFormat="1" applyFont="1" applyFill="1" applyBorder="1"/>
    <xf numFmtId="164" fontId="6" fillId="8" borderId="1" xfId="0" applyNumberFormat="1" applyFont="1" applyFill="1" applyBorder="1"/>
    <xf numFmtId="0" fontId="2" fillId="12" borderId="1" xfId="0" applyFont="1" applyFill="1" applyBorder="1"/>
    <xf numFmtId="0" fontId="4" fillId="12" borderId="1" xfId="0" applyFont="1" applyFill="1" applyBorder="1"/>
    <xf numFmtId="164" fontId="6" fillId="12" borderId="1" xfId="0" applyNumberFormat="1" applyFont="1" applyFill="1" applyBorder="1"/>
    <xf numFmtId="0" fontId="2" fillId="13" borderId="1" xfId="0" applyFont="1" applyFill="1" applyBorder="1"/>
    <xf numFmtId="0" fontId="4" fillId="13" borderId="1" xfId="0" applyFont="1" applyFill="1" applyBorder="1"/>
    <xf numFmtId="164" fontId="6" fillId="13" borderId="1" xfId="0" applyNumberFormat="1" applyFont="1" applyFill="1" applyBorder="1"/>
    <xf numFmtId="0" fontId="2" fillId="14" borderId="1" xfId="0" applyFont="1" applyFill="1" applyBorder="1"/>
    <xf numFmtId="164" fontId="6" fillId="14" borderId="1" xfId="0" applyNumberFormat="1" applyFont="1" applyFill="1" applyBorder="1"/>
    <xf numFmtId="0" fontId="4" fillId="14" borderId="1" xfId="0" applyFont="1" applyFill="1" applyBorder="1"/>
    <xf numFmtId="164" fontId="6" fillId="5" borderId="1" xfId="0" applyNumberFormat="1" applyFont="1" applyFill="1" applyBorder="1"/>
    <xf numFmtId="0" fontId="2" fillId="15" borderId="1" xfId="0" applyFont="1" applyFill="1" applyBorder="1"/>
    <xf numFmtId="164" fontId="6" fillId="15" borderId="1" xfId="0" applyNumberFormat="1" applyFont="1" applyFill="1" applyBorder="1"/>
    <xf numFmtId="0" fontId="4" fillId="15" borderId="1" xfId="0" applyFont="1" applyFill="1" applyBorder="1"/>
    <xf numFmtId="0" fontId="2" fillId="16" borderId="1" xfId="0" applyFont="1" applyFill="1" applyBorder="1"/>
    <xf numFmtId="0" fontId="4" fillId="16" borderId="1" xfId="0" applyFont="1" applyFill="1" applyBorder="1"/>
    <xf numFmtId="164" fontId="6" fillId="16" borderId="1" xfId="0" applyNumberFormat="1" applyFont="1" applyFill="1" applyBorder="1"/>
    <xf numFmtId="165" fontId="6" fillId="16" borderId="1" xfId="0" applyNumberFormat="1" applyFont="1" applyFill="1" applyBorder="1"/>
    <xf numFmtId="0" fontId="2" fillId="17" borderId="1" xfId="0" applyFont="1" applyFill="1" applyBorder="1"/>
    <xf numFmtId="0" fontId="4" fillId="17" borderId="1" xfId="0" applyFont="1" applyFill="1" applyBorder="1"/>
    <xf numFmtId="164" fontId="6" fillId="17" borderId="1" xfId="0" applyNumberFormat="1" applyFont="1" applyFill="1" applyBorder="1"/>
    <xf numFmtId="0" fontId="2" fillId="18" borderId="1" xfId="0" applyFont="1" applyFill="1" applyBorder="1"/>
    <xf numFmtId="164" fontId="6" fillId="18" borderId="1" xfId="0" applyNumberFormat="1" applyFont="1" applyFill="1" applyBorder="1"/>
    <xf numFmtId="0" fontId="4" fillId="18" borderId="1" xfId="0" applyFont="1" applyFill="1" applyBorder="1"/>
    <xf numFmtId="0" fontId="2" fillId="19" borderId="1" xfId="0" applyFont="1" applyFill="1" applyBorder="1"/>
    <xf numFmtId="0" fontId="4" fillId="19" borderId="1" xfId="0" applyFont="1" applyFill="1" applyBorder="1"/>
    <xf numFmtId="164" fontId="6" fillId="19" borderId="1" xfId="0" applyNumberFormat="1" applyFont="1" applyFill="1" applyBorder="1"/>
    <xf numFmtId="165" fontId="6" fillId="18" borderId="1" xfId="0" applyNumberFormat="1" applyFont="1" applyFill="1" applyBorder="1"/>
    <xf numFmtId="165" fontId="6" fillId="19" borderId="1" xfId="0" applyNumberFormat="1" applyFont="1" applyFill="1" applyBorder="1"/>
    <xf numFmtId="0" fontId="7" fillId="0" borderId="0" xfId="0" applyFont="1"/>
    <xf numFmtId="0" fontId="8" fillId="20" borderId="0" xfId="0" applyFont="1" applyFill="1"/>
    <xf numFmtId="0" fontId="0" fillId="20" borderId="0" xfId="0" applyFill="1"/>
    <xf numFmtId="0" fontId="2" fillId="0" borderId="1" xfId="0" applyFont="1" applyBorder="1" applyAlignment="1">
      <alignment vertical="top" wrapText="1"/>
    </xf>
    <xf numFmtId="0" fontId="1" fillId="0" borderId="1" xfId="0" applyFont="1" applyBorder="1" applyAlignment="1">
      <alignment vertical="top" wrapText="1"/>
    </xf>
    <xf numFmtId="0" fontId="9" fillId="0" borderId="1" xfId="0" applyFont="1" applyBorder="1" applyAlignment="1">
      <alignment vertical="top" wrapText="1"/>
    </xf>
    <xf numFmtId="0" fontId="10" fillId="20" borderId="0" xfId="0" applyFont="1" applyFill="1"/>
    <xf numFmtId="0" fontId="2" fillId="0" borderId="0" xfId="0" applyFont="1"/>
    <xf numFmtId="166" fontId="3" fillId="4" borderId="0" xfId="0" applyNumberFormat="1" applyFont="1" applyFill="1"/>
    <xf numFmtId="165" fontId="3" fillId="4" borderId="0" xfId="0" applyNumberFormat="1" applyFont="1" applyFill="1"/>
    <xf numFmtId="167" fontId="2" fillId="0" borderId="0" xfId="0" applyNumberFormat="1" applyFont="1"/>
    <xf numFmtId="0" fontId="2" fillId="0" borderId="0" xfId="0" applyFont="1" applyAlignment="1">
      <alignment vertical="top" wrapText="1"/>
    </xf>
  </cellXfs>
  <cellStyles count="1">
    <cellStyle name="Standard" xfId="0" builtinId="0"/>
  </cellStyles>
  <dxfs count="2">
    <dxf>
      <fill>
        <patternFill>
          <bgColor rgb="FFF7D0C9"/>
        </patternFill>
      </fill>
    </dxf>
    <dxf>
      <fill>
        <patternFill>
          <bgColor rgb="FFD8EFD3"/>
        </patternFill>
      </fill>
    </dxf>
  </dxfs>
  <tableStyles count="0" defaultTableStyle="TableStyleMedium2" defaultPivotStyle="PivotStyleLight16"/>
  <colors>
    <indexedColors>
      <rgbColor rgb="FF000000"/>
      <rgbColor rgb="FFFFFFFF"/>
      <rgbColor rgb="FFFF0000"/>
      <rgbColor rgb="FF00FF00"/>
      <rgbColor rgb="FF0000C0"/>
      <rgbColor rgb="FFFDEBD3"/>
      <rgbColor rgb="FFFF00FF"/>
      <rgbColor rgb="FF00FFFF"/>
      <rgbColor rgb="FF800000"/>
      <rgbColor rgb="FF008000"/>
      <rgbColor rgb="FF000080"/>
      <rgbColor rgb="FF808000"/>
      <rgbColor rgb="FF800080"/>
      <rgbColor rgb="FF008080"/>
      <rgbColor rgb="FFC8CDD2"/>
      <rgbColor rgb="FFF5F5F0"/>
      <rgbColor rgb="FFEEEAF5"/>
      <rgbColor rgb="FF993366"/>
      <rgbColor rgb="FFFBF3E6"/>
      <rgbColor rgb="FFE3EEF8"/>
      <rgbColor rgb="FF660066"/>
      <rgbColor rgb="FFF4EFE6"/>
      <rgbColor rgb="FF0066CC"/>
      <rgbColor rgb="FFD9E1E8"/>
      <rgbColor rgb="FF000080"/>
      <rgbColor rgb="FFFF00FF"/>
      <rgbColor rgb="FFF6EEDC"/>
      <rgbColor rgb="FF00FFFF"/>
      <rgbColor rgb="FF800080"/>
      <rgbColor rgb="FF800000"/>
      <rgbColor rgb="FF008080"/>
      <rgbColor rgb="FF0000FF"/>
      <rgbColor rgb="FF00CCFF"/>
      <rgbColor rgb="FFE8F1F5"/>
      <rgbColor rgb="FFD8EFD3"/>
      <rgbColor rgb="FFFFF2A8"/>
      <rgbColor rgb="FFE6EEF7"/>
      <rgbColor rgb="FFFBE9E0"/>
      <rgbColor rgb="FFF3E8F5"/>
      <rgbColor rgb="FFF7D0C9"/>
      <rgbColor rgb="FF3366FF"/>
      <rgbColor rgb="FFEEF0F4"/>
      <rgbColor rgb="FFEAF3E3"/>
      <rgbColor rgb="FFF3EEE6"/>
      <rgbColor rgb="FFF0F0F0"/>
      <rgbColor rgb="FFFF6600"/>
      <rgbColor rgb="FF555555"/>
      <rgbColor rgb="FFECEDEE"/>
      <rgbColor rgb="FF003366"/>
      <rgbColor rgb="FF339966"/>
      <rgbColor rgb="FF003300"/>
      <rgbColor rgb="FF333300"/>
      <rgbColor rgb="FF993300"/>
      <rgbColor rgb="FF993366"/>
      <rgbColor rgb="FF1F4E79"/>
      <rgbColor rgb="FF2F4F5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2"/>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4.4" x14ac:dyDescent="0.3"/>
  <cols>
    <col min="1" max="1" width="16" customWidth="1"/>
    <col min="2" max="2" width="10" customWidth="1"/>
    <col min="3" max="3" width="8" customWidth="1"/>
    <col min="4" max="4" width="66" customWidth="1"/>
    <col min="5" max="5" width="14" customWidth="1"/>
    <col min="6" max="6" width="2" customWidth="1"/>
    <col min="7" max="7" width="52" customWidth="1"/>
  </cols>
  <sheetData>
    <row r="1" spans="1:7" x14ac:dyDescent="0.3">
      <c r="A1" s="1" t="s">
        <v>0</v>
      </c>
      <c r="B1" s="1" t="s">
        <v>1</v>
      </c>
      <c r="C1" s="1" t="s">
        <v>2</v>
      </c>
      <c r="D1" s="1" t="s">
        <v>3</v>
      </c>
      <c r="E1" s="1" t="s">
        <v>4</v>
      </c>
      <c r="G1" s="2" t="s">
        <v>5</v>
      </c>
    </row>
    <row r="2" spans="1:7" x14ac:dyDescent="0.3">
      <c r="A2" s="3" t="s">
        <v>6</v>
      </c>
      <c r="B2" s="4">
        <v>46</v>
      </c>
      <c r="C2" s="3" t="s">
        <v>7</v>
      </c>
      <c r="D2" s="3" t="s">
        <v>8</v>
      </c>
      <c r="E2" s="5" t="s">
        <v>9</v>
      </c>
      <c r="G2" s="6" t="s">
        <v>10</v>
      </c>
    </row>
    <row r="3" spans="1:7" x14ac:dyDescent="0.3">
      <c r="A3" s="3" t="s">
        <v>11</v>
      </c>
      <c r="B3" s="4">
        <v>59</v>
      </c>
      <c r="C3" s="3" t="s">
        <v>7</v>
      </c>
      <c r="D3" s="3" t="s">
        <v>12</v>
      </c>
      <c r="E3" s="5" t="s">
        <v>9</v>
      </c>
      <c r="G3" s="6" t="s">
        <v>13</v>
      </c>
    </row>
    <row r="4" spans="1:7" x14ac:dyDescent="0.3">
      <c r="A4" s="3" t="s">
        <v>14</v>
      </c>
      <c r="B4" s="4">
        <v>62</v>
      </c>
      <c r="C4" s="3" t="s">
        <v>7</v>
      </c>
      <c r="D4" s="3" t="s">
        <v>15</v>
      </c>
      <c r="E4" s="5" t="s">
        <v>9</v>
      </c>
      <c r="G4" s="6" t="s">
        <v>16</v>
      </c>
    </row>
    <row r="5" spans="1:7" x14ac:dyDescent="0.3">
      <c r="A5" s="3" t="s">
        <v>17</v>
      </c>
      <c r="B5" s="4">
        <v>1.5</v>
      </c>
      <c r="C5" s="3" t="s">
        <v>7</v>
      </c>
      <c r="D5" s="3" t="s">
        <v>18</v>
      </c>
      <c r="E5" s="5" t="s">
        <v>9</v>
      </c>
      <c r="G5" s="6" t="s">
        <v>19</v>
      </c>
    </row>
    <row r="6" spans="1:7" x14ac:dyDescent="0.3">
      <c r="A6" s="3" t="s">
        <v>20</v>
      </c>
      <c r="B6" s="4">
        <v>10.199999999999999</v>
      </c>
      <c r="C6" s="3" t="s">
        <v>7</v>
      </c>
      <c r="D6" s="3" t="s">
        <v>21</v>
      </c>
      <c r="E6" s="5" t="s">
        <v>9</v>
      </c>
      <c r="G6" s="6"/>
    </row>
    <row r="7" spans="1:7" x14ac:dyDescent="0.3">
      <c r="A7" s="3" t="s">
        <v>22</v>
      </c>
      <c r="B7" s="4">
        <v>54.2</v>
      </c>
      <c r="C7" s="3" t="s">
        <v>7</v>
      </c>
      <c r="D7" s="3" t="s">
        <v>23</v>
      </c>
      <c r="E7" s="5" t="s">
        <v>9</v>
      </c>
      <c r="G7" s="6" t="s">
        <v>24</v>
      </c>
    </row>
    <row r="8" spans="1:7" x14ac:dyDescent="0.3">
      <c r="A8" s="7" t="s">
        <v>25</v>
      </c>
      <c r="B8" s="4">
        <v>0.5</v>
      </c>
      <c r="C8" s="7" t="s">
        <v>7</v>
      </c>
      <c r="D8" s="7" t="s">
        <v>26</v>
      </c>
      <c r="E8" s="8" t="s">
        <v>27</v>
      </c>
      <c r="G8" s="6" t="s">
        <v>28</v>
      </c>
    </row>
    <row r="9" spans="1:7" x14ac:dyDescent="0.3">
      <c r="A9" s="7" t="s">
        <v>29</v>
      </c>
      <c r="B9" s="4">
        <v>72</v>
      </c>
      <c r="C9" s="7" t="s">
        <v>7</v>
      </c>
      <c r="D9" s="7" t="s">
        <v>30</v>
      </c>
      <c r="E9" s="8" t="s">
        <v>27</v>
      </c>
      <c r="G9" s="6" t="s">
        <v>31</v>
      </c>
    </row>
    <row r="10" spans="1:7" x14ac:dyDescent="0.3">
      <c r="A10" s="7" t="s">
        <v>32</v>
      </c>
      <c r="B10" s="4">
        <v>40</v>
      </c>
      <c r="C10" s="7" t="s">
        <v>7</v>
      </c>
      <c r="D10" s="7" t="s">
        <v>33</v>
      </c>
      <c r="E10" s="8" t="s">
        <v>27</v>
      </c>
      <c r="G10" s="6"/>
    </row>
    <row r="11" spans="1:7" x14ac:dyDescent="0.3">
      <c r="A11" s="7" t="s">
        <v>34</v>
      </c>
      <c r="B11" s="4">
        <v>6</v>
      </c>
      <c r="C11" s="7" t="s">
        <v>7</v>
      </c>
      <c r="D11" s="7" t="s">
        <v>35</v>
      </c>
      <c r="E11" s="8" t="s">
        <v>27</v>
      </c>
      <c r="G11" s="6" t="s">
        <v>36</v>
      </c>
    </row>
    <row r="12" spans="1:7" x14ac:dyDescent="0.3">
      <c r="A12" s="7" t="s">
        <v>37</v>
      </c>
      <c r="B12" s="4">
        <v>3</v>
      </c>
      <c r="C12" s="7" t="s">
        <v>7</v>
      </c>
      <c r="D12" s="7" t="s">
        <v>38</v>
      </c>
      <c r="E12" s="8" t="s">
        <v>27</v>
      </c>
      <c r="G12" s="6" t="s">
        <v>39</v>
      </c>
    </row>
    <row r="13" spans="1:7" x14ac:dyDescent="0.3">
      <c r="A13" s="9" t="s">
        <v>40</v>
      </c>
      <c r="B13" s="4">
        <v>1.5</v>
      </c>
      <c r="C13" s="9" t="s">
        <v>7</v>
      </c>
      <c r="D13" s="9" t="s">
        <v>41</v>
      </c>
      <c r="E13" s="10" t="s">
        <v>42</v>
      </c>
      <c r="G13" s="6"/>
    </row>
    <row r="14" spans="1:7" x14ac:dyDescent="0.3">
      <c r="A14" s="9" t="s">
        <v>43</v>
      </c>
      <c r="B14" s="11">
        <f>$B$2</f>
        <v>46</v>
      </c>
      <c r="C14" s="9" t="s">
        <v>7</v>
      </c>
      <c r="D14" s="9" t="s">
        <v>44</v>
      </c>
      <c r="E14" s="10" t="s">
        <v>42</v>
      </c>
      <c r="G14" s="6" t="s">
        <v>45</v>
      </c>
    </row>
    <row r="15" spans="1:7" x14ac:dyDescent="0.3">
      <c r="A15" s="9" t="s">
        <v>46</v>
      </c>
      <c r="B15" s="11">
        <f>$B$9</f>
        <v>72</v>
      </c>
      <c r="C15" s="9" t="s">
        <v>7</v>
      </c>
      <c r="D15" s="9" t="s">
        <v>47</v>
      </c>
      <c r="E15" s="10" t="s">
        <v>42</v>
      </c>
      <c r="G15" s="6" t="s">
        <v>48</v>
      </c>
    </row>
    <row r="16" spans="1:7" x14ac:dyDescent="0.3">
      <c r="A16" s="9" t="s">
        <v>49</v>
      </c>
      <c r="B16" s="4">
        <v>7</v>
      </c>
      <c r="C16" s="9" t="s">
        <v>7</v>
      </c>
      <c r="D16" s="9" t="s">
        <v>50</v>
      </c>
      <c r="E16" s="10" t="s">
        <v>42</v>
      </c>
      <c r="G16" s="6" t="s">
        <v>51</v>
      </c>
    </row>
    <row r="17" spans="1:7" x14ac:dyDescent="0.3">
      <c r="A17" s="9" t="s">
        <v>52</v>
      </c>
      <c r="B17" s="4">
        <v>39</v>
      </c>
      <c r="C17" s="9" t="s">
        <v>7</v>
      </c>
      <c r="D17" s="9" t="s">
        <v>53</v>
      </c>
      <c r="E17" s="10" t="s">
        <v>42</v>
      </c>
      <c r="G17" s="6" t="s">
        <v>54</v>
      </c>
    </row>
    <row r="18" spans="1:7" x14ac:dyDescent="0.3">
      <c r="A18" s="9" t="s">
        <v>55</v>
      </c>
      <c r="B18" s="4">
        <v>1</v>
      </c>
      <c r="C18" s="9" t="s">
        <v>7</v>
      </c>
      <c r="D18" s="9" t="s">
        <v>56</v>
      </c>
      <c r="E18" s="10" t="s">
        <v>42</v>
      </c>
      <c r="G18" s="6"/>
    </row>
    <row r="19" spans="1:7" x14ac:dyDescent="0.3">
      <c r="A19" s="12" t="s">
        <v>57</v>
      </c>
      <c r="B19" s="4">
        <v>37</v>
      </c>
      <c r="C19" s="12" t="s">
        <v>7</v>
      </c>
      <c r="D19" s="12" t="s">
        <v>58</v>
      </c>
      <c r="E19" s="13" t="s">
        <v>59</v>
      </c>
      <c r="G19" s="6" t="s">
        <v>60</v>
      </c>
    </row>
    <row r="20" spans="1:7" x14ac:dyDescent="0.3">
      <c r="A20" s="12" t="s">
        <v>61</v>
      </c>
      <c r="B20" s="14">
        <v>20</v>
      </c>
      <c r="C20" s="12" t="s">
        <v>62</v>
      </c>
      <c r="D20" s="12" t="s">
        <v>63</v>
      </c>
      <c r="E20" s="13" t="s">
        <v>59</v>
      </c>
      <c r="G20" s="6" t="s">
        <v>64</v>
      </c>
    </row>
    <row r="21" spans="1:7" x14ac:dyDescent="0.3">
      <c r="A21" s="12" t="s">
        <v>65</v>
      </c>
      <c r="B21" s="15">
        <f>$B$20+180</f>
        <v>200</v>
      </c>
      <c r="C21" s="12" t="s">
        <v>62</v>
      </c>
      <c r="D21" s="12" t="s">
        <v>66</v>
      </c>
      <c r="E21" s="13" t="s">
        <v>59</v>
      </c>
      <c r="G21" s="6" t="s">
        <v>67</v>
      </c>
    </row>
    <row r="22" spans="1:7" x14ac:dyDescent="0.3">
      <c r="A22" s="12" t="s">
        <v>68</v>
      </c>
      <c r="B22" s="14">
        <v>50</v>
      </c>
      <c r="C22" s="12" t="s">
        <v>62</v>
      </c>
      <c r="D22" s="12" t="s">
        <v>69</v>
      </c>
      <c r="E22" s="13" t="s">
        <v>59</v>
      </c>
      <c r="G22" s="6" t="s">
        <v>70</v>
      </c>
    </row>
    <row r="23" spans="1:7" x14ac:dyDescent="0.3">
      <c r="A23" s="12" t="s">
        <v>71</v>
      </c>
      <c r="B23" s="14">
        <v>100</v>
      </c>
      <c r="C23" s="12" t="s">
        <v>62</v>
      </c>
      <c r="D23" s="12" t="s">
        <v>72</v>
      </c>
      <c r="E23" s="13" t="s">
        <v>59</v>
      </c>
      <c r="G23" s="6"/>
    </row>
    <row r="24" spans="1:7" x14ac:dyDescent="0.3">
      <c r="A24" s="12" t="s">
        <v>73</v>
      </c>
      <c r="B24" s="14">
        <v>0</v>
      </c>
      <c r="C24" s="12" t="s">
        <v>62</v>
      </c>
      <c r="D24" s="12" t="s">
        <v>74</v>
      </c>
      <c r="E24" s="13" t="s">
        <v>59</v>
      </c>
      <c r="G24" s="6" t="s">
        <v>75</v>
      </c>
    </row>
    <row r="25" spans="1:7" x14ac:dyDescent="0.3">
      <c r="A25" s="12" t="s">
        <v>76</v>
      </c>
      <c r="B25" s="14">
        <v>60</v>
      </c>
      <c r="C25" s="12" t="s">
        <v>62</v>
      </c>
      <c r="D25" s="12" t="s">
        <v>77</v>
      </c>
      <c r="E25" s="13" t="s">
        <v>59</v>
      </c>
      <c r="G25" s="6" t="s">
        <v>78</v>
      </c>
    </row>
    <row r="26" spans="1:7" x14ac:dyDescent="0.3">
      <c r="A26" s="12" t="s">
        <v>79</v>
      </c>
      <c r="B26" s="14">
        <v>140</v>
      </c>
      <c r="C26" s="12" t="s">
        <v>62</v>
      </c>
      <c r="D26" s="12" t="s">
        <v>80</v>
      </c>
      <c r="E26" s="13" t="s">
        <v>59</v>
      </c>
    </row>
    <row r="27" spans="1:7" x14ac:dyDescent="0.3">
      <c r="A27" s="12" t="s">
        <v>81</v>
      </c>
      <c r="B27" s="14">
        <v>90</v>
      </c>
      <c r="C27" s="12" t="s">
        <v>62</v>
      </c>
      <c r="D27" s="12" t="s">
        <v>82</v>
      </c>
      <c r="E27" s="13" t="s">
        <v>59</v>
      </c>
    </row>
    <row r="28" spans="1:7" x14ac:dyDescent="0.3">
      <c r="A28" s="12" t="s">
        <v>83</v>
      </c>
      <c r="B28" s="4">
        <v>67</v>
      </c>
      <c r="C28" s="12" t="s">
        <v>7</v>
      </c>
      <c r="D28" s="12" t="s">
        <v>84</v>
      </c>
      <c r="E28" s="13" t="s">
        <v>85</v>
      </c>
    </row>
    <row r="29" spans="1:7" x14ac:dyDescent="0.3">
      <c r="A29" s="12" t="s">
        <v>86</v>
      </c>
      <c r="B29" s="14">
        <v>6</v>
      </c>
      <c r="C29" s="12" t="s">
        <v>87</v>
      </c>
      <c r="D29" s="12" t="s">
        <v>88</v>
      </c>
      <c r="E29" s="13" t="s">
        <v>85</v>
      </c>
    </row>
    <row r="30" spans="1:7" x14ac:dyDescent="0.3">
      <c r="A30" s="12" t="s">
        <v>89</v>
      </c>
      <c r="B30" s="4">
        <v>76</v>
      </c>
      <c r="C30" s="12" t="s">
        <v>7</v>
      </c>
      <c r="D30" s="12" t="s">
        <v>90</v>
      </c>
      <c r="E30" s="13" t="s">
        <v>85</v>
      </c>
    </row>
    <row r="31" spans="1:7" x14ac:dyDescent="0.3">
      <c r="A31" s="12" t="s">
        <v>91</v>
      </c>
      <c r="B31" s="14">
        <v>3</v>
      </c>
      <c r="C31" s="12" t="s">
        <v>87</v>
      </c>
      <c r="D31" s="12" t="s">
        <v>92</v>
      </c>
      <c r="E31" s="13" t="s">
        <v>85</v>
      </c>
    </row>
    <row r="32" spans="1:7" x14ac:dyDescent="0.3">
      <c r="A32" s="12" t="s">
        <v>93</v>
      </c>
      <c r="B32" s="4">
        <v>76</v>
      </c>
      <c r="C32" s="12" t="s">
        <v>7</v>
      </c>
      <c r="D32" s="12" t="s">
        <v>94</v>
      </c>
      <c r="E32" s="13" t="s">
        <v>85</v>
      </c>
    </row>
    <row r="33" spans="1:5" x14ac:dyDescent="0.3">
      <c r="A33" s="12" t="s">
        <v>95</v>
      </c>
      <c r="B33" s="14">
        <v>9</v>
      </c>
      <c r="C33" s="12" t="s">
        <v>87</v>
      </c>
      <c r="D33" s="12" t="s">
        <v>96</v>
      </c>
      <c r="E33" s="13" t="s">
        <v>85</v>
      </c>
    </row>
    <row r="34" spans="1:5" x14ac:dyDescent="0.3">
      <c r="A34" s="12" t="s">
        <v>97</v>
      </c>
      <c r="B34" s="4">
        <v>84</v>
      </c>
      <c r="C34" s="12" t="s">
        <v>7</v>
      </c>
      <c r="D34" s="12" t="s">
        <v>98</v>
      </c>
      <c r="E34" s="13" t="s">
        <v>85</v>
      </c>
    </row>
    <row r="35" spans="1:5" x14ac:dyDescent="0.3">
      <c r="A35" s="12" t="s">
        <v>99</v>
      </c>
      <c r="B35" s="14">
        <v>3</v>
      </c>
      <c r="C35" s="12" t="s">
        <v>87</v>
      </c>
      <c r="D35" s="12" t="s">
        <v>100</v>
      </c>
      <c r="E35" s="13" t="s">
        <v>85</v>
      </c>
    </row>
    <row r="36" spans="1:5" x14ac:dyDescent="0.3">
      <c r="A36" s="16" t="s">
        <v>101</v>
      </c>
      <c r="B36" s="4">
        <v>2.2000000000000002</v>
      </c>
      <c r="C36" s="16" t="s">
        <v>7</v>
      </c>
      <c r="D36" s="16" t="s">
        <v>102</v>
      </c>
      <c r="E36" s="17" t="s">
        <v>103</v>
      </c>
    </row>
    <row r="37" spans="1:5" x14ac:dyDescent="0.3">
      <c r="A37" s="16" t="s">
        <v>104</v>
      </c>
      <c r="B37" s="4">
        <v>4.4000000000000004</v>
      </c>
      <c r="C37" s="16" t="s">
        <v>7</v>
      </c>
      <c r="D37" s="16" t="s">
        <v>105</v>
      </c>
      <c r="E37" s="17" t="s">
        <v>103</v>
      </c>
    </row>
    <row r="38" spans="1:5" x14ac:dyDescent="0.3">
      <c r="A38" s="16" t="s">
        <v>106</v>
      </c>
      <c r="B38" s="4">
        <v>1.2</v>
      </c>
      <c r="C38" s="16" t="s">
        <v>7</v>
      </c>
      <c r="D38" s="16" t="s">
        <v>107</v>
      </c>
      <c r="E38" s="17" t="s">
        <v>103</v>
      </c>
    </row>
    <row r="39" spans="1:5" x14ac:dyDescent="0.3">
      <c r="A39" s="16" t="s">
        <v>108</v>
      </c>
      <c r="B39" s="4">
        <v>2.7</v>
      </c>
      <c r="C39" s="16" t="s">
        <v>7</v>
      </c>
      <c r="D39" s="16" t="s">
        <v>109</v>
      </c>
      <c r="E39" s="17" t="s">
        <v>103</v>
      </c>
    </row>
    <row r="40" spans="1:5" x14ac:dyDescent="0.3">
      <c r="A40" s="16" t="s">
        <v>110</v>
      </c>
      <c r="B40" s="4">
        <v>5.5</v>
      </c>
      <c r="C40" s="16" t="s">
        <v>7</v>
      </c>
      <c r="D40" s="16" t="s">
        <v>111</v>
      </c>
      <c r="E40" s="17" t="s">
        <v>103</v>
      </c>
    </row>
    <row r="41" spans="1:5" x14ac:dyDescent="0.3">
      <c r="A41" s="16" t="s">
        <v>112</v>
      </c>
      <c r="B41" s="4">
        <v>1.5</v>
      </c>
      <c r="C41" s="16" t="s">
        <v>7</v>
      </c>
      <c r="D41" s="16" t="s">
        <v>113</v>
      </c>
      <c r="E41" s="17" t="s">
        <v>103</v>
      </c>
    </row>
    <row r="42" spans="1:5" x14ac:dyDescent="0.3">
      <c r="A42" s="16" t="s">
        <v>114</v>
      </c>
      <c r="B42" s="4">
        <v>3.8</v>
      </c>
      <c r="C42" s="16" t="s">
        <v>7</v>
      </c>
      <c r="D42" s="16" t="s">
        <v>115</v>
      </c>
      <c r="E42" s="17" t="s">
        <v>103</v>
      </c>
    </row>
    <row r="43" spans="1:5" x14ac:dyDescent="0.3">
      <c r="A43" s="16" t="s">
        <v>116</v>
      </c>
      <c r="B43" s="4">
        <v>2</v>
      </c>
      <c r="C43" s="16" t="s">
        <v>7</v>
      </c>
      <c r="D43" s="16" t="s">
        <v>117</v>
      </c>
      <c r="E43" s="17" t="s">
        <v>103</v>
      </c>
    </row>
    <row r="44" spans="1:5" x14ac:dyDescent="0.3">
      <c r="A44" s="16" t="s">
        <v>118</v>
      </c>
      <c r="B44" s="4">
        <v>5.5</v>
      </c>
      <c r="C44" s="16" t="s">
        <v>7</v>
      </c>
      <c r="D44" s="16" t="s">
        <v>119</v>
      </c>
      <c r="E44" s="17" t="s">
        <v>103</v>
      </c>
    </row>
    <row r="45" spans="1:5" x14ac:dyDescent="0.3">
      <c r="A45" s="16" t="s">
        <v>120</v>
      </c>
      <c r="B45" s="4">
        <v>2</v>
      </c>
      <c r="C45" s="16" t="s">
        <v>7</v>
      </c>
      <c r="D45" s="16" t="s">
        <v>121</v>
      </c>
      <c r="E45" s="17" t="s">
        <v>103</v>
      </c>
    </row>
    <row r="46" spans="1:5" x14ac:dyDescent="0.3">
      <c r="A46" s="16" t="s">
        <v>122</v>
      </c>
      <c r="B46" s="4">
        <v>2</v>
      </c>
      <c r="C46" s="16" t="s">
        <v>7</v>
      </c>
      <c r="D46" s="16" t="s">
        <v>123</v>
      </c>
      <c r="E46" s="17" t="s">
        <v>103</v>
      </c>
    </row>
    <row r="47" spans="1:5" x14ac:dyDescent="0.3">
      <c r="A47" s="16" t="s">
        <v>124</v>
      </c>
      <c r="B47" s="4">
        <v>0.8</v>
      </c>
      <c r="C47" s="16" t="s">
        <v>7</v>
      </c>
      <c r="D47" s="16" t="s">
        <v>125</v>
      </c>
      <c r="E47" s="17" t="s">
        <v>103</v>
      </c>
    </row>
    <row r="48" spans="1:5" x14ac:dyDescent="0.3">
      <c r="A48" s="16" t="s">
        <v>126</v>
      </c>
      <c r="B48" s="4">
        <v>2.1</v>
      </c>
      <c r="C48" s="16" t="s">
        <v>7</v>
      </c>
      <c r="D48" s="16" t="s">
        <v>127</v>
      </c>
      <c r="E48" s="17" t="s">
        <v>103</v>
      </c>
    </row>
    <row r="49" spans="1:5" x14ac:dyDescent="0.3">
      <c r="A49" s="16" t="s">
        <v>128</v>
      </c>
      <c r="B49" s="4">
        <v>2</v>
      </c>
      <c r="C49" s="16" t="s">
        <v>7</v>
      </c>
      <c r="D49" s="16" t="s">
        <v>129</v>
      </c>
      <c r="E49" s="17" t="s">
        <v>103</v>
      </c>
    </row>
    <row r="50" spans="1:5" x14ac:dyDescent="0.3">
      <c r="A50" s="16" t="s">
        <v>130</v>
      </c>
      <c r="B50" s="4">
        <v>2.65</v>
      </c>
      <c r="C50" s="16" t="s">
        <v>7</v>
      </c>
      <c r="D50" s="16" t="s">
        <v>131</v>
      </c>
      <c r="E50" s="17" t="s">
        <v>103</v>
      </c>
    </row>
    <row r="51" spans="1:5" x14ac:dyDescent="0.3">
      <c r="A51" s="16" t="s">
        <v>132</v>
      </c>
      <c r="B51" s="4">
        <v>5</v>
      </c>
      <c r="C51" s="16" t="s">
        <v>7</v>
      </c>
      <c r="D51" s="16" t="s">
        <v>133</v>
      </c>
      <c r="E51" s="17" t="s">
        <v>103</v>
      </c>
    </row>
    <row r="52" spans="1:5" x14ac:dyDescent="0.3">
      <c r="A52" s="16" t="s">
        <v>134</v>
      </c>
      <c r="B52" s="4">
        <v>0.5</v>
      </c>
      <c r="C52" s="16" t="s">
        <v>7</v>
      </c>
      <c r="D52" s="16" t="s">
        <v>135</v>
      </c>
      <c r="E52" s="17" t="s">
        <v>103</v>
      </c>
    </row>
    <row r="53" spans="1:5" x14ac:dyDescent="0.3">
      <c r="A53" s="16" t="s">
        <v>136</v>
      </c>
      <c r="B53" s="4">
        <v>4</v>
      </c>
      <c r="C53" s="16" t="s">
        <v>7</v>
      </c>
      <c r="D53" s="16" t="s">
        <v>137</v>
      </c>
      <c r="E53" s="17" t="s">
        <v>103</v>
      </c>
    </row>
    <row r="54" spans="1:5" x14ac:dyDescent="0.3">
      <c r="A54" s="16" t="s">
        <v>138</v>
      </c>
      <c r="B54" s="4">
        <v>10</v>
      </c>
      <c r="C54" s="16" t="s">
        <v>7</v>
      </c>
      <c r="D54" s="16" t="s">
        <v>139</v>
      </c>
      <c r="E54" s="17" t="s">
        <v>103</v>
      </c>
    </row>
    <row r="55" spans="1:5" x14ac:dyDescent="0.3">
      <c r="A55" s="16" t="s">
        <v>140</v>
      </c>
      <c r="B55" s="4">
        <v>10</v>
      </c>
      <c r="C55" s="16" t="s">
        <v>7</v>
      </c>
      <c r="D55" s="16" t="s">
        <v>141</v>
      </c>
      <c r="E55" s="17" t="s">
        <v>103</v>
      </c>
    </row>
    <row r="56" spans="1:5" x14ac:dyDescent="0.3">
      <c r="A56" s="16" t="s">
        <v>142</v>
      </c>
      <c r="B56" s="4">
        <v>10</v>
      </c>
      <c r="C56" s="16" t="s">
        <v>7</v>
      </c>
      <c r="D56" s="16" t="s">
        <v>143</v>
      </c>
      <c r="E56" s="17" t="s">
        <v>103</v>
      </c>
    </row>
    <row r="57" spans="1:5" x14ac:dyDescent="0.3">
      <c r="A57" s="16" t="s">
        <v>144</v>
      </c>
      <c r="B57" s="4">
        <v>2</v>
      </c>
      <c r="C57" s="16" t="s">
        <v>7</v>
      </c>
      <c r="D57" s="16" t="s">
        <v>145</v>
      </c>
      <c r="E57" s="17" t="s">
        <v>103</v>
      </c>
    </row>
    <row r="58" spans="1:5" x14ac:dyDescent="0.3">
      <c r="A58" s="18" t="s">
        <v>146</v>
      </c>
      <c r="B58" s="4">
        <v>80</v>
      </c>
      <c r="C58" s="18" t="s">
        <v>7</v>
      </c>
      <c r="D58" s="18" t="s">
        <v>147</v>
      </c>
      <c r="E58" s="19" t="s">
        <v>148</v>
      </c>
    </row>
    <row r="59" spans="1:5" x14ac:dyDescent="0.3">
      <c r="A59" s="18" t="s">
        <v>149</v>
      </c>
      <c r="B59" s="20">
        <f>$B$4+2*$B$142</f>
        <v>62.2</v>
      </c>
      <c r="C59" s="18" t="s">
        <v>7</v>
      </c>
      <c r="D59" s="18" t="s">
        <v>150</v>
      </c>
      <c r="E59" s="19" t="s">
        <v>148</v>
      </c>
    </row>
    <row r="60" spans="1:5" x14ac:dyDescent="0.3">
      <c r="A60" s="18" t="s">
        <v>151</v>
      </c>
      <c r="B60" s="4">
        <v>4</v>
      </c>
      <c r="C60" s="18" t="s">
        <v>7</v>
      </c>
      <c r="D60" s="18" t="s">
        <v>152</v>
      </c>
      <c r="E60" s="19" t="s">
        <v>148</v>
      </c>
    </row>
    <row r="61" spans="1:5" x14ac:dyDescent="0.3">
      <c r="A61" s="18" t="s">
        <v>153</v>
      </c>
      <c r="B61" s="4">
        <v>0.05</v>
      </c>
      <c r="C61" s="18" t="s">
        <v>7</v>
      </c>
      <c r="D61" s="18" t="s">
        <v>154</v>
      </c>
      <c r="E61" s="19" t="s">
        <v>148</v>
      </c>
    </row>
    <row r="62" spans="1:5" x14ac:dyDescent="0.3">
      <c r="A62" s="18" t="s">
        <v>155</v>
      </c>
      <c r="B62" s="4">
        <v>0.2</v>
      </c>
      <c r="C62" s="18" t="s">
        <v>7</v>
      </c>
      <c r="D62" s="18" t="s">
        <v>156</v>
      </c>
      <c r="E62" s="19" t="s">
        <v>148</v>
      </c>
    </row>
    <row r="63" spans="1:5" x14ac:dyDescent="0.3">
      <c r="A63" s="18" t="s">
        <v>157</v>
      </c>
      <c r="B63" s="4">
        <v>3</v>
      </c>
      <c r="C63" s="18" t="s">
        <v>7</v>
      </c>
      <c r="D63" s="18" t="s">
        <v>158</v>
      </c>
      <c r="E63" s="19" t="s">
        <v>148</v>
      </c>
    </row>
    <row r="64" spans="1:5" x14ac:dyDescent="0.3">
      <c r="A64" s="18" t="s">
        <v>159</v>
      </c>
      <c r="B64" s="20">
        <f>$B$13+$B$8+$B$60</f>
        <v>6</v>
      </c>
      <c r="C64" s="18" t="s">
        <v>7</v>
      </c>
      <c r="D64" s="18" t="s">
        <v>160</v>
      </c>
      <c r="E64" s="19" t="s">
        <v>148</v>
      </c>
    </row>
    <row r="65" spans="1:5" x14ac:dyDescent="0.3">
      <c r="A65" s="18" t="s">
        <v>161</v>
      </c>
      <c r="B65" s="20">
        <f>$B$9+2*$B$61</f>
        <v>72.099999999999994</v>
      </c>
      <c r="C65" s="18" t="s">
        <v>7</v>
      </c>
      <c r="D65" s="18" t="s">
        <v>162</v>
      </c>
      <c r="E65" s="19" t="s">
        <v>148</v>
      </c>
    </row>
    <row r="66" spans="1:5" x14ac:dyDescent="0.3">
      <c r="A66" s="18" t="s">
        <v>163</v>
      </c>
      <c r="B66" s="20">
        <f>$B$13+$B$8</f>
        <v>2</v>
      </c>
      <c r="C66" s="18" t="s">
        <v>7</v>
      </c>
      <c r="D66" s="18" t="s">
        <v>164</v>
      </c>
      <c r="E66" s="19" t="s">
        <v>148</v>
      </c>
    </row>
    <row r="67" spans="1:5" x14ac:dyDescent="0.3">
      <c r="A67" s="18" t="s">
        <v>165</v>
      </c>
      <c r="B67" s="20">
        <f>$B$16+2*$B$62</f>
        <v>7.4</v>
      </c>
      <c r="C67" s="18" t="s">
        <v>7</v>
      </c>
      <c r="D67" s="18" t="s">
        <v>166</v>
      </c>
      <c r="E67" s="19" t="s">
        <v>148</v>
      </c>
    </row>
    <row r="68" spans="1:5" x14ac:dyDescent="0.3">
      <c r="A68" s="18" t="s">
        <v>167</v>
      </c>
      <c r="B68" s="20">
        <f>$B$17+$B$62</f>
        <v>39.200000000000003</v>
      </c>
      <c r="C68" s="18" t="s">
        <v>7</v>
      </c>
      <c r="D68" s="18" t="s">
        <v>168</v>
      </c>
      <c r="E68" s="19" t="s">
        <v>148</v>
      </c>
    </row>
    <row r="69" spans="1:5" x14ac:dyDescent="0.3">
      <c r="A69" s="18" t="s">
        <v>169</v>
      </c>
      <c r="B69" s="20">
        <f>$B$49+$B$161+$B$162*$B$163+$B$165</f>
        <v>3.2</v>
      </c>
      <c r="C69" s="18" t="s">
        <v>7</v>
      </c>
      <c r="D69" s="18" t="s">
        <v>170</v>
      </c>
      <c r="E69" s="19" t="s">
        <v>148</v>
      </c>
    </row>
    <row r="70" spans="1:5" x14ac:dyDescent="0.3">
      <c r="A70" s="18" t="s">
        <v>171</v>
      </c>
      <c r="B70" s="20">
        <f>$B$64</f>
        <v>6</v>
      </c>
      <c r="C70" s="18" t="s">
        <v>7</v>
      </c>
      <c r="D70" s="18" t="s">
        <v>172</v>
      </c>
      <c r="E70" s="19" t="s">
        <v>148</v>
      </c>
    </row>
    <row r="71" spans="1:5" x14ac:dyDescent="0.3">
      <c r="A71" s="21" t="s">
        <v>173</v>
      </c>
      <c r="B71" s="22">
        <f>$B$4+2*$B$143</f>
        <v>62.6</v>
      </c>
      <c r="C71" s="21" t="s">
        <v>7</v>
      </c>
      <c r="D71" s="21" t="s">
        <v>174</v>
      </c>
      <c r="E71" s="23" t="s">
        <v>175</v>
      </c>
    </row>
    <row r="72" spans="1:5" x14ac:dyDescent="0.3">
      <c r="A72" s="21" t="s">
        <v>176</v>
      </c>
      <c r="B72" s="4">
        <v>88</v>
      </c>
      <c r="C72" s="21" t="s">
        <v>7</v>
      </c>
      <c r="D72" s="21" t="s">
        <v>177</v>
      </c>
      <c r="E72" s="23" t="s">
        <v>175</v>
      </c>
    </row>
    <row r="73" spans="1:5" x14ac:dyDescent="0.3">
      <c r="A73" s="21" t="s">
        <v>178</v>
      </c>
      <c r="B73" s="4">
        <v>5.5</v>
      </c>
      <c r="C73" s="21" t="s">
        <v>7</v>
      </c>
      <c r="D73" s="21" t="s">
        <v>179</v>
      </c>
      <c r="E73" s="23" t="s">
        <v>175</v>
      </c>
    </row>
    <row r="74" spans="1:5" x14ac:dyDescent="0.3">
      <c r="A74" s="21" t="s">
        <v>180</v>
      </c>
      <c r="B74" s="4">
        <v>1.2</v>
      </c>
      <c r="C74" s="21" t="s">
        <v>7</v>
      </c>
      <c r="D74" s="21" t="s">
        <v>181</v>
      </c>
      <c r="E74" s="23" t="s">
        <v>175</v>
      </c>
    </row>
    <row r="75" spans="1:5" x14ac:dyDescent="0.3">
      <c r="A75" s="21" t="s">
        <v>182</v>
      </c>
      <c r="B75" s="4">
        <v>3.6</v>
      </c>
      <c r="C75" s="21" t="s">
        <v>7</v>
      </c>
      <c r="D75" s="21" t="s">
        <v>183</v>
      </c>
      <c r="E75" s="23" t="s">
        <v>175</v>
      </c>
    </row>
    <row r="76" spans="1:5" x14ac:dyDescent="0.3">
      <c r="A76" s="21" t="s">
        <v>184</v>
      </c>
      <c r="B76" s="4">
        <v>2.4</v>
      </c>
      <c r="C76" s="21" t="s">
        <v>7</v>
      </c>
      <c r="D76" s="21" t="s">
        <v>185</v>
      </c>
      <c r="E76" s="23" t="s">
        <v>175</v>
      </c>
    </row>
    <row r="77" spans="1:5" x14ac:dyDescent="0.3">
      <c r="A77" s="21" t="s">
        <v>186</v>
      </c>
      <c r="B77" s="4">
        <v>5.3</v>
      </c>
      <c r="C77" s="21" t="s">
        <v>7</v>
      </c>
      <c r="D77" s="21" t="s">
        <v>187</v>
      </c>
      <c r="E77" s="23" t="s">
        <v>175</v>
      </c>
    </row>
    <row r="78" spans="1:5" x14ac:dyDescent="0.3">
      <c r="A78" s="21" t="s">
        <v>188</v>
      </c>
      <c r="B78" s="4">
        <v>4</v>
      </c>
      <c r="C78" s="21" t="s">
        <v>7</v>
      </c>
      <c r="D78" s="21" t="s">
        <v>189</v>
      </c>
      <c r="E78" s="23" t="s">
        <v>175</v>
      </c>
    </row>
    <row r="79" spans="1:5" x14ac:dyDescent="0.3">
      <c r="A79" s="21" t="s">
        <v>190</v>
      </c>
      <c r="B79" s="22">
        <f>ROUND($B$4+2*$B$82*(1-$B$83),1)</f>
        <v>66.099999999999994</v>
      </c>
      <c r="C79" s="21" t="s">
        <v>7</v>
      </c>
      <c r="D79" s="21" t="s">
        <v>191</v>
      </c>
      <c r="E79" s="23" t="s">
        <v>175</v>
      </c>
    </row>
    <row r="80" spans="1:5" x14ac:dyDescent="0.3">
      <c r="A80" s="21" t="s">
        <v>192</v>
      </c>
      <c r="B80" s="22">
        <f>$B$73/2</f>
        <v>2.75</v>
      </c>
      <c r="C80" s="21" t="s">
        <v>7</v>
      </c>
      <c r="D80" s="21" t="s">
        <v>193</v>
      </c>
      <c r="E80" s="23" t="s">
        <v>175</v>
      </c>
    </row>
    <row r="81" spans="1:5" x14ac:dyDescent="0.3">
      <c r="A81" s="24" t="s">
        <v>194</v>
      </c>
      <c r="B81" s="4">
        <v>61.5</v>
      </c>
      <c r="C81" s="24" t="s">
        <v>7</v>
      </c>
      <c r="D81" s="24" t="s">
        <v>195</v>
      </c>
      <c r="E81" s="25" t="s">
        <v>196</v>
      </c>
    </row>
    <row r="82" spans="1:5" x14ac:dyDescent="0.3">
      <c r="A82" s="24" t="s">
        <v>197</v>
      </c>
      <c r="B82" s="4">
        <v>2.65</v>
      </c>
      <c r="C82" s="24" t="s">
        <v>7</v>
      </c>
      <c r="D82" s="24" t="s">
        <v>198</v>
      </c>
      <c r="E82" s="25" t="s">
        <v>196</v>
      </c>
    </row>
    <row r="83" spans="1:5" x14ac:dyDescent="0.3">
      <c r="A83" s="24" t="s">
        <v>199</v>
      </c>
      <c r="B83" s="14">
        <v>0.22</v>
      </c>
      <c r="C83" s="24" t="s">
        <v>87</v>
      </c>
      <c r="D83" s="24" t="s">
        <v>200</v>
      </c>
      <c r="E83" s="25" t="s">
        <v>196</v>
      </c>
    </row>
    <row r="84" spans="1:5" x14ac:dyDescent="0.3">
      <c r="A84" s="24" t="s">
        <v>201</v>
      </c>
      <c r="B84" s="26">
        <f>($B$82-($B$79-$B$4)/2)/$B$82</f>
        <v>0.2264150943396237</v>
      </c>
      <c r="C84" s="24" t="s">
        <v>87</v>
      </c>
      <c r="D84" s="24" t="s">
        <v>202</v>
      </c>
      <c r="E84" s="25" t="s">
        <v>196</v>
      </c>
    </row>
    <row r="85" spans="1:5" x14ac:dyDescent="0.3">
      <c r="A85" s="24" t="s">
        <v>203</v>
      </c>
      <c r="B85" s="4">
        <v>64</v>
      </c>
      <c r="C85" s="24" t="s">
        <v>7</v>
      </c>
      <c r="D85" s="24" t="s">
        <v>204</v>
      </c>
      <c r="E85" s="25" t="s">
        <v>205</v>
      </c>
    </row>
    <row r="86" spans="1:5" x14ac:dyDescent="0.3">
      <c r="A86" s="24" t="s">
        <v>206</v>
      </c>
      <c r="B86" s="4">
        <v>1</v>
      </c>
      <c r="C86" s="24" t="s">
        <v>7</v>
      </c>
      <c r="D86" s="24" t="s">
        <v>207</v>
      </c>
      <c r="E86" s="25" t="s">
        <v>205</v>
      </c>
    </row>
    <row r="87" spans="1:5" x14ac:dyDescent="0.3">
      <c r="A87" s="24" t="s">
        <v>208</v>
      </c>
      <c r="B87" s="4">
        <v>64.8</v>
      </c>
      <c r="C87" s="24" t="s">
        <v>7</v>
      </c>
      <c r="D87" s="24" t="s">
        <v>209</v>
      </c>
      <c r="E87" s="25" t="s">
        <v>205</v>
      </c>
    </row>
    <row r="88" spans="1:5" x14ac:dyDescent="0.3">
      <c r="A88" s="24" t="s">
        <v>210</v>
      </c>
      <c r="B88" s="4">
        <v>1.4</v>
      </c>
      <c r="C88" s="24" t="s">
        <v>7</v>
      </c>
      <c r="D88" s="24" t="s">
        <v>211</v>
      </c>
      <c r="E88" s="25" t="s">
        <v>205</v>
      </c>
    </row>
    <row r="89" spans="1:5" x14ac:dyDescent="0.3">
      <c r="A89" s="24" t="s">
        <v>212</v>
      </c>
      <c r="B89" s="4">
        <v>0.75</v>
      </c>
      <c r="C89" s="24" t="s">
        <v>7</v>
      </c>
      <c r="D89" s="24" t="s">
        <v>213</v>
      </c>
      <c r="E89" s="25" t="s">
        <v>205</v>
      </c>
    </row>
    <row r="90" spans="1:5" x14ac:dyDescent="0.3">
      <c r="A90" s="24" t="s">
        <v>214</v>
      </c>
      <c r="B90" s="27">
        <f>$B$87+2*$B$88</f>
        <v>67.599999999999994</v>
      </c>
      <c r="C90" s="24" t="s">
        <v>7</v>
      </c>
      <c r="D90" s="24" t="s">
        <v>215</v>
      </c>
      <c r="E90" s="25" t="s">
        <v>205</v>
      </c>
    </row>
    <row r="91" spans="1:5" x14ac:dyDescent="0.3">
      <c r="A91" s="18" t="s">
        <v>216</v>
      </c>
      <c r="B91" s="4">
        <v>87</v>
      </c>
      <c r="C91" s="18" t="s">
        <v>7</v>
      </c>
      <c r="D91" s="18" t="s">
        <v>217</v>
      </c>
      <c r="E91" s="19" t="s">
        <v>218</v>
      </c>
    </row>
    <row r="92" spans="1:5" x14ac:dyDescent="0.3">
      <c r="A92" s="18" t="s">
        <v>219</v>
      </c>
      <c r="B92" s="20">
        <f>$B$210+2*$B$213</f>
        <v>60.800000000000004</v>
      </c>
      <c r="C92" s="18" t="s">
        <v>7</v>
      </c>
      <c r="D92" s="18" t="s">
        <v>220</v>
      </c>
      <c r="E92" s="19" t="s">
        <v>218</v>
      </c>
    </row>
    <row r="93" spans="1:5" x14ac:dyDescent="0.3">
      <c r="A93" s="18" t="s">
        <v>221</v>
      </c>
      <c r="B93" s="4">
        <v>5.9</v>
      </c>
      <c r="C93" s="18" t="s">
        <v>7</v>
      </c>
      <c r="D93" s="18" t="s">
        <v>222</v>
      </c>
      <c r="E93" s="19" t="s">
        <v>218</v>
      </c>
    </row>
    <row r="94" spans="1:5" x14ac:dyDescent="0.3">
      <c r="A94" s="18" t="s">
        <v>223</v>
      </c>
      <c r="B94" s="20">
        <f>$B$4+2*$B$214</f>
        <v>62.2</v>
      </c>
      <c r="C94" s="18" t="s">
        <v>7</v>
      </c>
      <c r="D94" s="18" t="s">
        <v>224</v>
      </c>
      <c r="E94" s="19" t="s">
        <v>218</v>
      </c>
    </row>
    <row r="95" spans="1:5" x14ac:dyDescent="0.3">
      <c r="A95" s="18" t="s">
        <v>225</v>
      </c>
      <c r="B95" s="4">
        <v>0.4</v>
      </c>
      <c r="C95" s="18" t="s">
        <v>7</v>
      </c>
      <c r="D95" s="18" t="s">
        <v>226</v>
      </c>
      <c r="E95" s="19" t="s">
        <v>218</v>
      </c>
    </row>
    <row r="96" spans="1:5" x14ac:dyDescent="0.3">
      <c r="A96" s="18" t="s">
        <v>227</v>
      </c>
      <c r="B96" s="4">
        <v>1</v>
      </c>
      <c r="C96" s="18" t="s">
        <v>7</v>
      </c>
      <c r="D96" s="18" t="s">
        <v>228</v>
      </c>
      <c r="E96" s="19" t="s">
        <v>218</v>
      </c>
    </row>
    <row r="97" spans="1:5" x14ac:dyDescent="0.3">
      <c r="A97" s="18" t="s">
        <v>229</v>
      </c>
      <c r="B97" s="4">
        <v>8.1999999999999993</v>
      </c>
      <c r="C97" s="18" t="s">
        <v>7</v>
      </c>
      <c r="D97" s="18" t="s">
        <v>230</v>
      </c>
      <c r="E97" s="19" t="s">
        <v>218</v>
      </c>
    </row>
    <row r="98" spans="1:5" x14ac:dyDescent="0.3">
      <c r="A98" s="18" t="s">
        <v>231</v>
      </c>
      <c r="B98" s="4">
        <v>5.5</v>
      </c>
      <c r="C98" s="18" t="s">
        <v>7</v>
      </c>
      <c r="D98" s="18" t="s">
        <v>232</v>
      </c>
      <c r="E98" s="19" t="s">
        <v>218</v>
      </c>
    </row>
    <row r="99" spans="1:5" x14ac:dyDescent="0.3">
      <c r="A99" s="18" t="s">
        <v>233</v>
      </c>
      <c r="B99" s="4">
        <v>6</v>
      </c>
      <c r="C99" s="18" t="s">
        <v>7</v>
      </c>
      <c r="D99" s="18" t="s">
        <v>234</v>
      </c>
      <c r="E99" s="19" t="s">
        <v>218</v>
      </c>
    </row>
    <row r="100" spans="1:5" x14ac:dyDescent="0.3">
      <c r="A100" s="18" t="s">
        <v>235</v>
      </c>
      <c r="B100" s="4">
        <v>0.2</v>
      </c>
      <c r="C100" s="18" t="s">
        <v>7</v>
      </c>
      <c r="D100" s="18" t="s">
        <v>236</v>
      </c>
      <c r="E100" s="19" t="s">
        <v>218</v>
      </c>
    </row>
    <row r="101" spans="1:5" x14ac:dyDescent="0.3">
      <c r="A101" s="18" t="s">
        <v>237</v>
      </c>
      <c r="B101" s="20">
        <f>$B$93-$B$96</f>
        <v>4.9000000000000004</v>
      </c>
      <c r="C101" s="18" t="s">
        <v>7</v>
      </c>
      <c r="D101" s="18" t="s">
        <v>238</v>
      </c>
      <c r="E101" s="19" t="s">
        <v>218</v>
      </c>
    </row>
    <row r="102" spans="1:5" x14ac:dyDescent="0.3">
      <c r="A102" s="18" t="s">
        <v>239</v>
      </c>
      <c r="B102" s="20">
        <f>$B$42+2*$B$100</f>
        <v>4.2</v>
      </c>
      <c r="C102" s="18" t="s">
        <v>7</v>
      </c>
      <c r="D102" s="18" t="s">
        <v>240</v>
      </c>
      <c r="E102" s="19" t="s">
        <v>218</v>
      </c>
    </row>
    <row r="103" spans="1:5" x14ac:dyDescent="0.3">
      <c r="A103" s="18" t="s">
        <v>241</v>
      </c>
      <c r="B103" s="20">
        <f>$B$34/2-$B$42/2-$B$100</f>
        <v>39.9</v>
      </c>
      <c r="C103" s="18" t="s">
        <v>7</v>
      </c>
      <c r="D103" s="18" t="s">
        <v>242</v>
      </c>
      <c r="E103" s="19" t="s">
        <v>218</v>
      </c>
    </row>
    <row r="104" spans="1:5" x14ac:dyDescent="0.3">
      <c r="A104" s="16" t="s">
        <v>243</v>
      </c>
      <c r="B104" s="4">
        <v>5</v>
      </c>
      <c r="C104" s="16" t="s">
        <v>7</v>
      </c>
      <c r="D104" s="16" t="s">
        <v>244</v>
      </c>
      <c r="E104" s="17" t="s">
        <v>245</v>
      </c>
    </row>
    <row r="105" spans="1:5" x14ac:dyDescent="0.3">
      <c r="A105" s="16" t="s">
        <v>246</v>
      </c>
      <c r="B105" s="4">
        <v>3.2</v>
      </c>
      <c r="C105" s="16" t="s">
        <v>7</v>
      </c>
      <c r="D105" s="16" t="s">
        <v>247</v>
      </c>
      <c r="E105" s="17" t="s">
        <v>245</v>
      </c>
    </row>
    <row r="106" spans="1:5" x14ac:dyDescent="0.3">
      <c r="A106" s="16" t="s">
        <v>248</v>
      </c>
      <c r="B106" s="4">
        <v>7</v>
      </c>
      <c r="C106" s="16" t="s">
        <v>7</v>
      </c>
      <c r="D106" s="16" t="s">
        <v>249</v>
      </c>
      <c r="E106" s="17" t="s">
        <v>245</v>
      </c>
    </row>
    <row r="107" spans="1:5" x14ac:dyDescent="0.3">
      <c r="A107" s="16" t="s">
        <v>250</v>
      </c>
      <c r="B107" s="4">
        <v>5.3</v>
      </c>
      <c r="C107" s="16" t="s">
        <v>7</v>
      </c>
      <c r="D107" s="16" t="s">
        <v>251</v>
      </c>
      <c r="E107" s="17" t="s">
        <v>245</v>
      </c>
    </row>
    <row r="108" spans="1:5" x14ac:dyDescent="0.3">
      <c r="A108" s="16" t="s">
        <v>252</v>
      </c>
      <c r="B108" s="4">
        <v>5.3</v>
      </c>
      <c r="C108" s="16" t="s">
        <v>7</v>
      </c>
      <c r="D108" s="16" t="s">
        <v>253</v>
      </c>
      <c r="E108" s="17" t="s">
        <v>245</v>
      </c>
    </row>
    <row r="109" spans="1:5" x14ac:dyDescent="0.3">
      <c r="A109" s="16" t="s">
        <v>254</v>
      </c>
      <c r="B109" s="4">
        <v>3.8</v>
      </c>
      <c r="C109" s="16" t="s">
        <v>7</v>
      </c>
      <c r="D109" s="16" t="s">
        <v>255</v>
      </c>
      <c r="E109" s="17" t="s">
        <v>245</v>
      </c>
    </row>
    <row r="110" spans="1:5" x14ac:dyDescent="0.3">
      <c r="A110" s="16" t="s">
        <v>256</v>
      </c>
      <c r="B110" s="4">
        <v>7</v>
      </c>
      <c r="C110" s="16" t="s">
        <v>7</v>
      </c>
      <c r="D110" s="16" t="s">
        <v>257</v>
      </c>
      <c r="E110" s="17" t="s">
        <v>245</v>
      </c>
    </row>
    <row r="111" spans="1:5" x14ac:dyDescent="0.3">
      <c r="A111" s="16" t="s">
        <v>258</v>
      </c>
      <c r="B111" s="4">
        <v>0.5</v>
      </c>
      <c r="C111" s="16" t="s">
        <v>7</v>
      </c>
      <c r="D111" s="16" t="s">
        <v>259</v>
      </c>
      <c r="E111" s="17" t="s">
        <v>245</v>
      </c>
    </row>
    <row r="112" spans="1:5" x14ac:dyDescent="0.3">
      <c r="A112" s="16" t="s">
        <v>260</v>
      </c>
      <c r="B112" s="28">
        <f>$B$129+$B$96+$B$168+$B$109</f>
        <v>5.5999999999999988</v>
      </c>
      <c r="C112" s="16" t="s">
        <v>7</v>
      </c>
      <c r="D112" s="16" t="s">
        <v>261</v>
      </c>
      <c r="E112" s="17" t="s">
        <v>245</v>
      </c>
    </row>
    <row r="113" spans="1:5" x14ac:dyDescent="0.3">
      <c r="A113" s="29" t="s">
        <v>262</v>
      </c>
      <c r="B113" s="4">
        <v>5</v>
      </c>
      <c r="C113" s="29" t="s">
        <v>7</v>
      </c>
      <c r="D113" s="29" t="s">
        <v>263</v>
      </c>
      <c r="E113" s="30" t="s">
        <v>264</v>
      </c>
    </row>
    <row r="114" spans="1:5" x14ac:dyDescent="0.3">
      <c r="A114" s="29" t="s">
        <v>265</v>
      </c>
      <c r="B114" s="4">
        <v>3.2</v>
      </c>
      <c r="C114" s="29" t="s">
        <v>7</v>
      </c>
      <c r="D114" s="29" t="s">
        <v>266</v>
      </c>
      <c r="E114" s="30" t="s">
        <v>264</v>
      </c>
    </row>
    <row r="115" spans="1:5" x14ac:dyDescent="0.3">
      <c r="A115" s="29" t="s">
        <v>267</v>
      </c>
      <c r="B115" s="4">
        <v>0.5</v>
      </c>
      <c r="C115" s="29" t="s">
        <v>7</v>
      </c>
      <c r="D115" s="29" t="s">
        <v>268</v>
      </c>
      <c r="E115" s="30" t="s">
        <v>264</v>
      </c>
    </row>
    <row r="116" spans="1:5" x14ac:dyDescent="0.3">
      <c r="A116" s="29" t="s">
        <v>269</v>
      </c>
      <c r="B116" s="4">
        <v>1</v>
      </c>
      <c r="C116" s="29" t="s">
        <v>7</v>
      </c>
      <c r="D116" s="29" t="s">
        <v>270</v>
      </c>
      <c r="E116" s="30" t="s">
        <v>264</v>
      </c>
    </row>
    <row r="117" spans="1:5" x14ac:dyDescent="0.3">
      <c r="A117" s="29" t="s">
        <v>271</v>
      </c>
      <c r="B117" s="31">
        <f>$B$73+$B$129+$B$93+$B$115</f>
        <v>12.2</v>
      </c>
      <c r="C117" s="29" t="s">
        <v>7</v>
      </c>
      <c r="D117" s="29" t="s">
        <v>272</v>
      </c>
      <c r="E117" s="30" t="s">
        <v>264</v>
      </c>
    </row>
    <row r="118" spans="1:5" x14ac:dyDescent="0.3">
      <c r="A118" s="29" t="s">
        <v>273</v>
      </c>
      <c r="B118" s="31">
        <f>$B$64+$B$117+2*$B$46+$B$47+$B$116</f>
        <v>24</v>
      </c>
      <c r="C118" s="29" t="s">
        <v>7</v>
      </c>
      <c r="D118" s="29" t="s">
        <v>274</v>
      </c>
      <c r="E118" s="30" t="s">
        <v>264</v>
      </c>
    </row>
    <row r="119" spans="1:5" x14ac:dyDescent="0.3">
      <c r="A119" s="29" t="s">
        <v>275</v>
      </c>
      <c r="B119" s="31">
        <f>ROUNDUP($B$118,0)</f>
        <v>24</v>
      </c>
      <c r="C119" s="29" t="s">
        <v>7</v>
      </c>
      <c r="D119" s="29" t="s">
        <v>276</v>
      </c>
      <c r="E119" s="30" t="s">
        <v>264</v>
      </c>
    </row>
    <row r="120" spans="1:5" x14ac:dyDescent="0.3">
      <c r="A120" s="32" t="s">
        <v>277</v>
      </c>
      <c r="B120" s="4">
        <v>0.05</v>
      </c>
      <c r="C120" s="32" t="s">
        <v>7</v>
      </c>
      <c r="D120" s="32" t="s">
        <v>278</v>
      </c>
      <c r="E120" s="33" t="s">
        <v>279</v>
      </c>
    </row>
    <row r="121" spans="1:5" x14ac:dyDescent="0.3">
      <c r="A121" s="32" t="s">
        <v>280</v>
      </c>
      <c r="B121" s="4">
        <v>0.3</v>
      </c>
      <c r="C121" s="32" t="s">
        <v>7</v>
      </c>
      <c r="D121" s="32" t="s">
        <v>281</v>
      </c>
      <c r="E121" s="33" t="s">
        <v>279</v>
      </c>
    </row>
    <row r="122" spans="1:5" x14ac:dyDescent="0.3">
      <c r="A122" s="32" t="s">
        <v>282</v>
      </c>
      <c r="B122" s="34">
        <f>$B$58</f>
        <v>80</v>
      </c>
      <c r="C122" s="32" t="s">
        <v>7</v>
      </c>
      <c r="D122" s="32" t="s">
        <v>283</v>
      </c>
      <c r="E122" s="33" t="s">
        <v>279</v>
      </c>
    </row>
    <row r="123" spans="1:5" x14ac:dyDescent="0.3">
      <c r="A123" s="32" t="s">
        <v>284</v>
      </c>
      <c r="B123" s="34">
        <f>$B$64+$B$120</f>
        <v>6.05</v>
      </c>
      <c r="C123" s="32" t="s">
        <v>7</v>
      </c>
      <c r="D123" s="32" t="s">
        <v>285</v>
      </c>
      <c r="E123" s="33" t="s">
        <v>279</v>
      </c>
    </row>
    <row r="124" spans="1:5" x14ac:dyDescent="0.3">
      <c r="A124" s="35" t="s">
        <v>286</v>
      </c>
      <c r="B124" s="36">
        <f>-$B$13</f>
        <v>-1.5</v>
      </c>
      <c r="C124" s="35" t="s">
        <v>7</v>
      </c>
      <c r="D124" s="35" t="s">
        <v>287</v>
      </c>
      <c r="E124" s="37" t="s">
        <v>288</v>
      </c>
    </row>
    <row r="125" spans="1:5" x14ac:dyDescent="0.3">
      <c r="A125" s="35" t="s">
        <v>289</v>
      </c>
      <c r="B125" s="36">
        <f>$B$8+$B$60</f>
        <v>4.5</v>
      </c>
      <c r="C125" s="35" t="s">
        <v>7</v>
      </c>
      <c r="D125" s="35" t="s">
        <v>290</v>
      </c>
      <c r="E125" s="37" t="s">
        <v>288</v>
      </c>
    </row>
    <row r="126" spans="1:5" x14ac:dyDescent="0.3">
      <c r="A126" s="35" t="s">
        <v>291</v>
      </c>
      <c r="B126" s="36">
        <f>$B$125+$B$73</f>
        <v>10</v>
      </c>
      <c r="C126" s="35" t="s">
        <v>7</v>
      </c>
      <c r="D126" s="35" t="s">
        <v>292</v>
      </c>
      <c r="E126" s="37" t="s">
        <v>288</v>
      </c>
    </row>
    <row r="127" spans="1:5" x14ac:dyDescent="0.3">
      <c r="A127" s="35" t="s">
        <v>293</v>
      </c>
      <c r="B127" s="36">
        <f>$B$8</f>
        <v>0.5</v>
      </c>
      <c r="C127" s="35" t="s">
        <v>7</v>
      </c>
      <c r="D127" s="35" t="s">
        <v>294</v>
      </c>
      <c r="E127" s="37" t="s">
        <v>288</v>
      </c>
    </row>
    <row r="128" spans="1:5" x14ac:dyDescent="0.3">
      <c r="A128" s="35" t="s">
        <v>295</v>
      </c>
      <c r="B128" s="36">
        <f>$B$8+$B$6-$B$95</f>
        <v>10.299999999999999</v>
      </c>
      <c r="C128" s="35" t="s">
        <v>7</v>
      </c>
      <c r="D128" s="35" t="s">
        <v>296</v>
      </c>
      <c r="E128" s="37" t="s">
        <v>288</v>
      </c>
    </row>
    <row r="129" spans="1:5" x14ac:dyDescent="0.3">
      <c r="A129" s="35" t="s">
        <v>297</v>
      </c>
      <c r="B129" s="36">
        <f>$B$128-$B$126</f>
        <v>0.29999999999999893</v>
      </c>
      <c r="C129" s="35" t="s">
        <v>7</v>
      </c>
      <c r="D129" s="35" t="s">
        <v>298</v>
      </c>
      <c r="E129" s="37" t="s">
        <v>288</v>
      </c>
    </row>
    <row r="130" spans="1:5" x14ac:dyDescent="0.3">
      <c r="A130" s="35" t="s">
        <v>299</v>
      </c>
      <c r="B130" s="36">
        <f>$B$128+$B$93</f>
        <v>16.2</v>
      </c>
      <c r="C130" s="35" t="s">
        <v>7</v>
      </c>
      <c r="D130" s="35" t="s">
        <v>300</v>
      </c>
      <c r="E130" s="37" t="s">
        <v>288</v>
      </c>
    </row>
    <row r="131" spans="1:5" x14ac:dyDescent="0.3">
      <c r="A131" s="35" t="s">
        <v>301</v>
      </c>
      <c r="B131" s="36">
        <f>$B$125+$B$74</f>
        <v>5.7</v>
      </c>
      <c r="C131" s="35" t="s">
        <v>7</v>
      </c>
      <c r="D131" s="35" t="s">
        <v>302</v>
      </c>
      <c r="E131" s="37" t="s">
        <v>288</v>
      </c>
    </row>
    <row r="132" spans="1:5" x14ac:dyDescent="0.3">
      <c r="A132" s="35" t="s">
        <v>303</v>
      </c>
      <c r="B132" s="36">
        <f>$B$131+$B$75</f>
        <v>9.3000000000000007</v>
      </c>
      <c r="C132" s="35" t="s">
        <v>7</v>
      </c>
      <c r="D132" s="35" t="s">
        <v>304</v>
      </c>
      <c r="E132" s="37" t="s">
        <v>288</v>
      </c>
    </row>
    <row r="133" spans="1:5" x14ac:dyDescent="0.3">
      <c r="A133" s="35" t="s">
        <v>305</v>
      </c>
      <c r="B133" s="36">
        <f>$B$125-$B$123</f>
        <v>-1.5499999999999998</v>
      </c>
      <c r="C133" s="35" t="s">
        <v>7</v>
      </c>
      <c r="D133" s="35" t="s">
        <v>306</v>
      </c>
      <c r="E133" s="37" t="s">
        <v>288</v>
      </c>
    </row>
    <row r="134" spans="1:5" x14ac:dyDescent="0.3">
      <c r="A134" s="29" t="s">
        <v>307</v>
      </c>
      <c r="B134" s="4">
        <v>2.5</v>
      </c>
      <c r="C134" s="29" t="s">
        <v>7</v>
      </c>
      <c r="D134" s="29" t="s">
        <v>308</v>
      </c>
      <c r="E134" s="30" t="s">
        <v>264</v>
      </c>
    </row>
    <row r="135" spans="1:5" x14ac:dyDescent="0.3">
      <c r="A135" s="12" t="s">
        <v>309</v>
      </c>
      <c r="B135" s="14">
        <v>90</v>
      </c>
      <c r="C135" s="12" t="s">
        <v>62</v>
      </c>
      <c r="D135" s="12" t="s">
        <v>310</v>
      </c>
      <c r="E135" s="13" t="s">
        <v>59</v>
      </c>
    </row>
    <row r="136" spans="1:5" x14ac:dyDescent="0.3">
      <c r="A136" s="12" t="s">
        <v>311</v>
      </c>
      <c r="B136" s="14">
        <v>40</v>
      </c>
      <c r="C136" s="12" t="s">
        <v>62</v>
      </c>
      <c r="D136" s="12" t="s">
        <v>312</v>
      </c>
      <c r="E136" s="13" t="s">
        <v>59</v>
      </c>
    </row>
    <row r="137" spans="1:5" x14ac:dyDescent="0.3">
      <c r="A137" s="12" t="s">
        <v>313</v>
      </c>
      <c r="B137" s="14">
        <v>3</v>
      </c>
      <c r="C137" s="12" t="s">
        <v>87</v>
      </c>
      <c r="D137" s="12" t="s">
        <v>314</v>
      </c>
      <c r="E137" s="13" t="s">
        <v>59</v>
      </c>
    </row>
    <row r="138" spans="1:5" x14ac:dyDescent="0.3">
      <c r="A138" s="16" t="s">
        <v>315</v>
      </c>
      <c r="B138" s="4">
        <v>1.5</v>
      </c>
      <c r="C138" s="16" t="s">
        <v>7</v>
      </c>
      <c r="D138" s="16" t="s">
        <v>316</v>
      </c>
      <c r="E138" s="17" t="s">
        <v>103</v>
      </c>
    </row>
    <row r="139" spans="1:5" x14ac:dyDescent="0.3">
      <c r="A139" s="21" t="s">
        <v>317</v>
      </c>
      <c r="B139" s="22">
        <f>$B$78+$B$138</f>
        <v>5.5</v>
      </c>
      <c r="C139" s="21" t="s">
        <v>7</v>
      </c>
      <c r="D139" s="21" t="s">
        <v>318</v>
      </c>
      <c r="E139" s="23" t="s">
        <v>175</v>
      </c>
    </row>
    <row r="140" spans="1:5" x14ac:dyDescent="0.3">
      <c r="A140" s="7" t="s">
        <v>319</v>
      </c>
      <c r="B140" s="4">
        <v>0.25</v>
      </c>
      <c r="C140" s="7" t="s">
        <v>7</v>
      </c>
      <c r="D140" s="7" t="s">
        <v>320</v>
      </c>
      <c r="E140" s="8" t="s">
        <v>27</v>
      </c>
    </row>
    <row r="141" spans="1:5" x14ac:dyDescent="0.3">
      <c r="A141" s="7" t="s">
        <v>321</v>
      </c>
      <c r="B141" s="38">
        <f>$B$134/2+$B$140</f>
        <v>1.5</v>
      </c>
      <c r="C141" s="7" t="s">
        <v>7</v>
      </c>
      <c r="D141" s="7" t="s">
        <v>322</v>
      </c>
      <c r="E141" s="8" t="s">
        <v>27</v>
      </c>
    </row>
    <row r="142" spans="1:5" x14ac:dyDescent="0.3">
      <c r="A142" s="18" t="s">
        <v>323</v>
      </c>
      <c r="B142" s="4">
        <v>0.1</v>
      </c>
      <c r="C142" s="18" t="s">
        <v>7</v>
      </c>
      <c r="D142" s="18" t="s">
        <v>324</v>
      </c>
      <c r="E142" s="19" t="s">
        <v>148</v>
      </c>
    </row>
    <row r="143" spans="1:5" x14ac:dyDescent="0.3">
      <c r="A143" s="21" t="s">
        <v>325</v>
      </c>
      <c r="B143" s="4">
        <v>0.3</v>
      </c>
      <c r="C143" s="21" t="s">
        <v>7</v>
      </c>
      <c r="D143" s="21" t="s">
        <v>326</v>
      </c>
      <c r="E143" s="23" t="s">
        <v>175</v>
      </c>
    </row>
    <row r="144" spans="1:5" x14ac:dyDescent="0.3">
      <c r="A144" s="39" t="s">
        <v>327</v>
      </c>
      <c r="B144" s="40">
        <f>$B$32-1</f>
        <v>75</v>
      </c>
      <c r="C144" s="39" t="s">
        <v>7</v>
      </c>
      <c r="D144" s="39" t="s">
        <v>328</v>
      </c>
      <c r="E144" s="41" t="s">
        <v>329</v>
      </c>
    </row>
    <row r="145" spans="1:5" x14ac:dyDescent="0.3">
      <c r="A145" s="39" t="s">
        <v>330</v>
      </c>
      <c r="B145" s="4">
        <v>2</v>
      </c>
      <c r="C145" s="39" t="s">
        <v>7</v>
      </c>
      <c r="D145" s="39" t="s">
        <v>331</v>
      </c>
      <c r="E145" s="41" t="s">
        <v>329</v>
      </c>
    </row>
    <row r="146" spans="1:5" x14ac:dyDescent="0.3">
      <c r="A146" s="39" t="s">
        <v>332</v>
      </c>
      <c r="B146" s="40">
        <f>$B$144-$B$145</f>
        <v>73</v>
      </c>
      <c r="C146" s="39" t="s">
        <v>7</v>
      </c>
      <c r="D146" s="39" t="s">
        <v>333</v>
      </c>
      <c r="E146" s="41" t="s">
        <v>329</v>
      </c>
    </row>
    <row r="147" spans="1:5" x14ac:dyDescent="0.3">
      <c r="A147" s="39" t="s">
        <v>334</v>
      </c>
      <c r="B147" s="40">
        <f>$B$144+$B$145</f>
        <v>77</v>
      </c>
      <c r="C147" s="39" t="s">
        <v>7</v>
      </c>
      <c r="D147" s="39" t="s">
        <v>335</v>
      </c>
      <c r="E147" s="41" t="s">
        <v>329</v>
      </c>
    </row>
    <row r="148" spans="1:5" x14ac:dyDescent="0.3">
      <c r="A148" s="39" t="s">
        <v>336</v>
      </c>
      <c r="B148" s="4">
        <v>0.3</v>
      </c>
      <c r="C148" s="39" t="s">
        <v>7</v>
      </c>
      <c r="D148" s="39" t="s">
        <v>337</v>
      </c>
      <c r="E148" s="41" t="s">
        <v>329</v>
      </c>
    </row>
    <row r="149" spans="1:5" x14ac:dyDescent="0.3">
      <c r="A149" s="39" t="s">
        <v>338</v>
      </c>
      <c r="B149" s="4">
        <v>1.5</v>
      </c>
      <c r="C149" s="39" t="s">
        <v>7</v>
      </c>
      <c r="D149" s="39" t="s">
        <v>339</v>
      </c>
      <c r="E149" s="41" t="s">
        <v>329</v>
      </c>
    </row>
    <row r="150" spans="1:5" x14ac:dyDescent="0.3">
      <c r="A150" s="39" t="s">
        <v>340</v>
      </c>
      <c r="B150" s="40">
        <f>$B$90/2-0.3</f>
        <v>33.5</v>
      </c>
      <c r="C150" s="39" t="s">
        <v>7</v>
      </c>
      <c r="D150" s="39" t="s">
        <v>341</v>
      </c>
      <c r="E150" s="41" t="s">
        <v>329</v>
      </c>
    </row>
    <row r="151" spans="1:5" x14ac:dyDescent="0.3">
      <c r="A151" s="39" t="s">
        <v>342</v>
      </c>
      <c r="B151" s="40">
        <f>$B$146/2+0.3</f>
        <v>36.799999999999997</v>
      </c>
      <c r="C151" s="39" t="s">
        <v>7</v>
      </c>
      <c r="D151" s="39" t="s">
        <v>343</v>
      </c>
      <c r="E151" s="41" t="s">
        <v>329</v>
      </c>
    </row>
    <row r="152" spans="1:5" x14ac:dyDescent="0.3">
      <c r="A152" s="39" t="s">
        <v>344</v>
      </c>
      <c r="B152" s="14">
        <v>60</v>
      </c>
      <c r="C152" s="39" t="s">
        <v>62</v>
      </c>
      <c r="D152" s="39" t="s">
        <v>345</v>
      </c>
      <c r="E152" s="41" t="s">
        <v>329</v>
      </c>
    </row>
    <row r="153" spans="1:5" x14ac:dyDescent="0.3">
      <c r="A153" s="39" t="s">
        <v>346</v>
      </c>
      <c r="B153" s="14">
        <v>3</v>
      </c>
      <c r="C153" s="39" t="s">
        <v>87</v>
      </c>
      <c r="D153" s="39" t="s">
        <v>347</v>
      </c>
      <c r="E153" s="41" t="s">
        <v>329</v>
      </c>
    </row>
    <row r="154" spans="1:5" x14ac:dyDescent="0.3">
      <c r="A154" s="39" t="s">
        <v>348</v>
      </c>
      <c r="B154" s="4">
        <v>1</v>
      </c>
      <c r="C154" s="39" t="s">
        <v>7</v>
      </c>
      <c r="D154" s="39" t="s">
        <v>349</v>
      </c>
      <c r="E154" s="41" t="s">
        <v>329</v>
      </c>
    </row>
    <row r="155" spans="1:5" x14ac:dyDescent="0.3">
      <c r="A155" s="39" t="s">
        <v>350</v>
      </c>
      <c r="B155" s="4">
        <v>1.5</v>
      </c>
      <c r="C155" s="39" t="s">
        <v>7</v>
      </c>
      <c r="D155" s="39" t="s">
        <v>351</v>
      </c>
      <c r="E155" s="41" t="s">
        <v>329</v>
      </c>
    </row>
    <row r="156" spans="1:5" x14ac:dyDescent="0.3">
      <c r="A156" s="39" t="s">
        <v>352</v>
      </c>
      <c r="B156" s="4">
        <v>0.2</v>
      </c>
      <c r="C156" s="39" t="s">
        <v>7</v>
      </c>
      <c r="D156" s="39" t="s">
        <v>353</v>
      </c>
      <c r="E156" s="41" t="s">
        <v>329</v>
      </c>
    </row>
    <row r="157" spans="1:5" x14ac:dyDescent="0.3">
      <c r="A157" s="39" t="s">
        <v>354</v>
      </c>
      <c r="B157" s="40">
        <f>$B$15/2+1</f>
        <v>37</v>
      </c>
      <c r="C157" s="39" t="s">
        <v>7</v>
      </c>
      <c r="D157" s="39" t="s">
        <v>355</v>
      </c>
      <c r="E157" s="41" t="s">
        <v>329</v>
      </c>
    </row>
    <row r="158" spans="1:5" x14ac:dyDescent="0.3">
      <c r="A158" s="39" t="s">
        <v>356</v>
      </c>
      <c r="B158" s="4">
        <v>1.5</v>
      </c>
      <c r="C158" s="39" t="s">
        <v>7</v>
      </c>
      <c r="D158" s="39" t="s">
        <v>357</v>
      </c>
      <c r="E158" s="41" t="s">
        <v>329</v>
      </c>
    </row>
    <row r="159" spans="1:5" x14ac:dyDescent="0.3">
      <c r="A159" s="39" t="s">
        <v>358</v>
      </c>
      <c r="B159" s="4">
        <v>0.3</v>
      </c>
      <c r="C159" s="39" t="s">
        <v>7</v>
      </c>
      <c r="D159" s="39" t="s">
        <v>359</v>
      </c>
      <c r="E159" s="41" t="s">
        <v>329</v>
      </c>
    </row>
    <row r="160" spans="1:5" x14ac:dyDescent="0.3">
      <c r="A160" s="39" t="s">
        <v>360</v>
      </c>
      <c r="B160" s="40">
        <f>$B$113+1</f>
        <v>6</v>
      </c>
      <c r="C160" s="39" t="s">
        <v>7</v>
      </c>
      <c r="D160" s="39" t="s">
        <v>361</v>
      </c>
      <c r="E160" s="41" t="s">
        <v>329</v>
      </c>
    </row>
    <row r="161" spans="1:5" x14ac:dyDescent="0.3">
      <c r="A161" s="16" t="s">
        <v>362</v>
      </c>
      <c r="B161" s="4">
        <v>0.2</v>
      </c>
      <c r="C161" s="16" t="s">
        <v>7</v>
      </c>
      <c r="D161" s="16" t="s">
        <v>363</v>
      </c>
      <c r="E161" s="17" t="s">
        <v>103</v>
      </c>
    </row>
    <row r="162" spans="1:5" x14ac:dyDescent="0.3">
      <c r="A162" s="16" t="s">
        <v>364</v>
      </c>
      <c r="B162" s="14">
        <v>2</v>
      </c>
      <c r="C162" s="16" t="s">
        <v>87</v>
      </c>
      <c r="D162" s="16" t="s">
        <v>365</v>
      </c>
      <c r="E162" s="17" t="s">
        <v>103</v>
      </c>
    </row>
    <row r="163" spans="1:5" x14ac:dyDescent="0.3">
      <c r="A163" s="16" t="s">
        <v>366</v>
      </c>
      <c r="B163" s="4">
        <v>0.4</v>
      </c>
      <c r="C163" s="16" t="s">
        <v>7</v>
      </c>
      <c r="D163" s="16" t="s">
        <v>367</v>
      </c>
      <c r="E163" s="17" t="s">
        <v>103</v>
      </c>
    </row>
    <row r="164" spans="1:5" x14ac:dyDescent="0.3">
      <c r="A164" s="16" t="s">
        <v>368</v>
      </c>
      <c r="B164" s="4">
        <v>0.45</v>
      </c>
      <c r="C164" s="16" t="s">
        <v>7</v>
      </c>
      <c r="D164" s="16" t="s">
        <v>369</v>
      </c>
      <c r="E164" s="17" t="s">
        <v>103</v>
      </c>
    </row>
    <row r="165" spans="1:5" x14ac:dyDescent="0.3">
      <c r="A165" s="16" t="s">
        <v>370</v>
      </c>
      <c r="B165" s="4">
        <v>0.2</v>
      </c>
      <c r="C165" s="16" t="s">
        <v>7</v>
      </c>
      <c r="D165" s="16" t="s">
        <v>371</v>
      </c>
      <c r="E165" s="17" t="s">
        <v>103</v>
      </c>
    </row>
    <row r="166" spans="1:5" x14ac:dyDescent="0.3">
      <c r="A166" s="16" t="s">
        <v>372</v>
      </c>
      <c r="B166" s="4">
        <v>2.5</v>
      </c>
      <c r="C166" s="16" t="s">
        <v>7</v>
      </c>
      <c r="D166" s="16" t="s">
        <v>373</v>
      </c>
      <c r="E166" s="17" t="s">
        <v>103</v>
      </c>
    </row>
    <row r="167" spans="1:5" x14ac:dyDescent="0.3">
      <c r="A167" s="16" t="s">
        <v>374</v>
      </c>
      <c r="B167" s="4">
        <v>3.1</v>
      </c>
      <c r="C167" s="16" t="s">
        <v>7</v>
      </c>
      <c r="D167" s="16" t="s">
        <v>375</v>
      </c>
      <c r="E167" s="17" t="s">
        <v>103</v>
      </c>
    </row>
    <row r="168" spans="1:5" x14ac:dyDescent="0.3">
      <c r="A168" s="16" t="s">
        <v>376</v>
      </c>
      <c r="B168" s="4">
        <v>0.5</v>
      </c>
      <c r="C168" s="16" t="s">
        <v>7</v>
      </c>
      <c r="D168" s="16" t="s">
        <v>377</v>
      </c>
      <c r="E168" s="17" t="s">
        <v>245</v>
      </c>
    </row>
    <row r="169" spans="1:5" x14ac:dyDescent="0.3">
      <c r="A169" s="16" t="s">
        <v>378</v>
      </c>
      <c r="B169" s="4">
        <v>8</v>
      </c>
      <c r="C169" s="16" t="s">
        <v>7</v>
      </c>
      <c r="D169" s="16" t="s">
        <v>379</v>
      </c>
      <c r="E169" s="17" t="s">
        <v>245</v>
      </c>
    </row>
    <row r="170" spans="1:5" x14ac:dyDescent="0.3">
      <c r="A170" s="16" t="s">
        <v>380</v>
      </c>
      <c r="B170" s="4">
        <v>5.3</v>
      </c>
      <c r="C170" s="16" t="s">
        <v>7</v>
      </c>
      <c r="D170" s="16" t="s">
        <v>381</v>
      </c>
      <c r="E170" s="17" t="s">
        <v>245</v>
      </c>
    </row>
    <row r="171" spans="1:5" x14ac:dyDescent="0.3">
      <c r="A171" s="16" t="s">
        <v>382</v>
      </c>
      <c r="B171" s="4">
        <v>3.2</v>
      </c>
      <c r="C171" s="16" t="s">
        <v>7</v>
      </c>
      <c r="D171" s="16" t="s">
        <v>383</v>
      </c>
      <c r="E171" s="17" t="s">
        <v>245</v>
      </c>
    </row>
    <row r="172" spans="1:5" x14ac:dyDescent="0.3">
      <c r="A172" s="24" t="s">
        <v>384</v>
      </c>
      <c r="B172" s="4">
        <v>2.5000000000000001E-4</v>
      </c>
      <c r="C172" s="24" t="s">
        <v>385</v>
      </c>
      <c r="D172" s="24" t="s">
        <v>386</v>
      </c>
      <c r="E172" s="25" t="s">
        <v>196</v>
      </c>
    </row>
    <row r="173" spans="1:5" x14ac:dyDescent="0.3">
      <c r="A173" s="24" t="s">
        <v>387</v>
      </c>
      <c r="B173" s="4">
        <v>280</v>
      </c>
      <c r="C173" s="24" t="s">
        <v>388</v>
      </c>
      <c r="D173" s="24" t="s">
        <v>389</v>
      </c>
      <c r="E173" s="25" t="s">
        <v>196</v>
      </c>
    </row>
    <row r="174" spans="1:5" x14ac:dyDescent="0.3">
      <c r="A174" s="39" t="s">
        <v>390</v>
      </c>
      <c r="B174" s="40">
        <f>$B$147/2-0.3</f>
        <v>38.200000000000003</v>
      </c>
      <c r="C174" s="39" t="s">
        <v>7</v>
      </c>
      <c r="D174" s="39" t="s">
        <v>391</v>
      </c>
      <c r="E174" s="41" t="s">
        <v>329</v>
      </c>
    </row>
    <row r="175" spans="1:5" x14ac:dyDescent="0.3">
      <c r="A175" s="39" t="s">
        <v>392</v>
      </c>
      <c r="B175" s="40">
        <f>$B$80+0.25</f>
        <v>3</v>
      </c>
      <c r="C175" s="39" t="s">
        <v>7</v>
      </c>
      <c r="D175" s="39" t="s">
        <v>393</v>
      </c>
      <c r="E175" s="41" t="s">
        <v>329</v>
      </c>
    </row>
    <row r="176" spans="1:5" x14ac:dyDescent="0.3">
      <c r="A176" s="3" t="s">
        <v>394</v>
      </c>
      <c r="B176" s="4">
        <v>54.2</v>
      </c>
      <c r="C176" s="3" t="s">
        <v>7</v>
      </c>
      <c r="D176" s="3" t="s">
        <v>395</v>
      </c>
      <c r="E176" s="5" t="s">
        <v>9</v>
      </c>
    </row>
    <row r="177" spans="1:5" x14ac:dyDescent="0.3">
      <c r="A177" s="18" t="s">
        <v>396</v>
      </c>
      <c r="B177" s="4">
        <v>0.5</v>
      </c>
      <c r="C177" s="18" t="s">
        <v>7</v>
      </c>
      <c r="D177" s="18" t="s">
        <v>397</v>
      </c>
      <c r="E177" s="19" t="s">
        <v>218</v>
      </c>
    </row>
    <row r="178" spans="1:5" x14ac:dyDescent="0.3">
      <c r="A178" s="18" t="s">
        <v>398</v>
      </c>
      <c r="B178" s="4">
        <v>1</v>
      </c>
      <c r="C178" s="18" t="s">
        <v>7</v>
      </c>
      <c r="D178" s="18" t="s">
        <v>399</v>
      </c>
      <c r="E178" s="19" t="s">
        <v>148</v>
      </c>
    </row>
    <row r="179" spans="1:5" x14ac:dyDescent="0.3">
      <c r="A179" s="18" t="s">
        <v>400</v>
      </c>
      <c r="B179" s="4">
        <v>1.5</v>
      </c>
      <c r="C179" s="18" t="s">
        <v>7</v>
      </c>
      <c r="D179" s="18" t="s">
        <v>401</v>
      </c>
      <c r="E179" s="19" t="s">
        <v>148</v>
      </c>
    </row>
    <row r="180" spans="1:5" x14ac:dyDescent="0.3">
      <c r="A180" s="9" t="s">
        <v>402</v>
      </c>
      <c r="B180" s="4">
        <v>1</v>
      </c>
      <c r="C180" s="9" t="s">
        <v>7</v>
      </c>
      <c r="D180" s="9" t="s">
        <v>403</v>
      </c>
      <c r="E180" s="10" t="s">
        <v>42</v>
      </c>
    </row>
    <row r="181" spans="1:5" x14ac:dyDescent="0.3">
      <c r="A181" s="42" t="s">
        <v>404</v>
      </c>
      <c r="B181" s="4">
        <v>1</v>
      </c>
      <c r="C181" s="42" t="s">
        <v>7</v>
      </c>
      <c r="D181" s="42" t="s">
        <v>405</v>
      </c>
      <c r="E181" s="43" t="s">
        <v>406</v>
      </c>
    </row>
    <row r="182" spans="1:5" x14ac:dyDescent="0.3">
      <c r="A182" s="42" t="s">
        <v>407</v>
      </c>
      <c r="B182" s="44">
        <f>$B$72</f>
        <v>88</v>
      </c>
      <c r="C182" s="42" t="s">
        <v>7</v>
      </c>
      <c r="D182" s="42" t="s">
        <v>408</v>
      </c>
      <c r="E182" s="43" t="s">
        <v>406</v>
      </c>
    </row>
    <row r="183" spans="1:5" x14ac:dyDescent="0.3">
      <c r="A183" s="42" t="s">
        <v>409</v>
      </c>
      <c r="B183" s="44">
        <f>$B$182+2*$B$181</f>
        <v>90</v>
      </c>
      <c r="C183" s="42" t="s">
        <v>7</v>
      </c>
      <c r="D183" s="42" t="s">
        <v>410</v>
      </c>
      <c r="E183" s="43" t="s">
        <v>406</v>
      </c>
    </row>
    <row r="184" spans="1:5" x14ac:dyDescent="0.3">
      <c r="A184" s="42" t="s">
        <v>411</v>
      </c>
      <c r="B184" s="4">
        <v>93.8</v>
      </c>
      <c r="C184" s="42" t="s">
        <v>7</v>
      </c>
      <c r="D184" s="42" t="s">
        <v>412</v>
      </c>
      <c r="E184" s="43" t="s">
        <v>406</v>
      </c>
    </row>
    <row r="185" spans="1:5" x14ac:dyDescent="0.3">
      <c r="A185" s="42" t="s">
        <v>413</v>
      </c>
      <c r="B185" s="44">
        <f>$B$184-$B$125</f>
        <v>89.3</v>
      </c>
      <c r="C185" s="42" t="s">
        <v>7</v>
      </c>
      <c r="D185" s="42" t="s">
        <v>414</v>
      </c>
      <c r="E185" s="43" t="s">
        <v>406</v>
      </c>
    </row>
    <row r="186" spans="1:5" x14ac:dyDescent="0.3">
      <c r="A186" s="42" t="s">
        <v>415</v>
      </c>
      <c r="B186" s="14">
        <v>1</v>
      </c>
      <c r="C186" s="42" t="s">
        <v>62</v>
      </c>
      <c r="D186" s="42" t="s">
        <v>416</v>
      </c>
      <c r="E186" s="43" t="s">
        <v>406</v>
      </c>
    </row>
    <row r="187" spans="1:5" x14ac:dyDescent="0.3">
      <c r="A187" s="42" t="s">
        <v>417</v>
      </c>
      <c r="B187" s="45">
        <f>360/$B$137-$B$186</f>
        <v>119</v>
      </c>
      <c r="C187" s="42" t="s">
        <v>62</v>
      </c>
      <c r="D187" s="42" t="s">
        <v>418</v>
      </c>
      <c r="E187" s="43" t="s">
        <v>406</v>
      </c>
    </row>
    <row r="188" spans="1:5" x14ac:dyDescent="0.3">
      <c r="A188" s="42" t="s">
        <v>419</v>
      </c>
      <c r="B188" s="45">
        <f>$B$135+$B$136/2+180/$B$137</f>
        <v>170</v>
      </c>
      <c r="C188" s="42" t="s">
        <v>62</v>
      </c>
      <c r="D188" s="42" t="s">
        <v>420</v>
      </c>
      <c r="E188" s="43" t="s">
        <v>406</v>
      </c>
    </row>
    <row r="189" spans="1:5" x14ac:dyDescent="0.3">
      <c r="A189" s="42" t="s">
        <v>421</v>
      </c>
      <c r="B189" s="45">
        <f>180/$B$137-$B$136/2</f>
        <v>40</v>
      </c>
      <c r="C189" s="42" t="s">
        <v>62</v>
      </c>
      <c r="D189" s="42" t="s">
        <v>422</v>
      </c>
      <c r="E189" s="43" t="s">
        <v>406</v>
      </c>
    </row>
    <row r="190" spans="1:5" x14ac:dyDescent="0.3">
      <c r="A190" s="42" t="s">
        <v>423</v>
      </c>
      <c r="B190" s="4">
        <v>3.2</v>
      </c>
      <c r="C190" s="42" t="s">
        <v>7</v>
      </c>
      <c r="D190" s="42" t="s">
        <v>424</v>
      </c>
      <c r="E190" s="43" t="s">
        <v>406</v>
      </c>
    </row>
    <row r="191" spans="1:5" x14ac:dyDescent="0.3">
      <c r="A191" s="42" t="s">
        <v>425</v>
      </c>
      <c r="B191" s="4">
        <v>4</v>
      </c>
      <c r="C191" s="42" t="s">
        <v>7</v>
      </c>
      <c r="D191" s="42" t="s">
        <v>426</v>
      </c>
      <c r="E191" s="43" t="s">
        <v>406</v>
      </c>
    </row>
    <row r="192" spans="1:5" x14ac:dyDescent="0.3">
      <c r="A192" s="42" t="s">
        <v>427</v>
      </c>
      <c r="B192" s="44">
        <f>PI()*($B$182+$B$181)/2*$B$187/180</f>
        <v>92.423910539359738</v>
      </c>
      <c r="C192" s="42" t="s">
        <v>7</v>
      </c>
      <c r="D192" s="42" t="s">
        <v>428</v>
      </c>
      <c r="E192" s="43" t="s">
        <v>406</v>
      </c>
    </row>
    <row r="193" spans="1:5" x14ac:dyDescent="0.3">
      <c r="A193" s="42" t="s">
        <v>429</v>
      </c>
      <c r="B193" s="44">
        <f>($B$182+$B$181)/2*PI()*$B$189/180</f>
        <v>31.066860685499069</v>
      </c>
      <c r="C193" s="42" t="s">
        <v>7</v>
      </c>
      <c r="D193" s="42" t="s">
        <v>430</v>
      </c>
      <c r="E193" s="43" t="s">
        <v>406</v>
      </c>
    </row>
    <row r="194" spans="1:5" x14ac:dyDescent="0.3">
      <c r="A194" s="42" t="s">
        <v>431</v>
      </c>
      <c r="B194" s="4">
        <v>5</v>
      </c>
      <c r="C194" s="42" t="s">
        <v>7</v>
      </c>
      <c r="D194" s="42" t="s">
        <v>432</v>
      </c>
      <c r="E194" s="43" t="s">
        <v>406</v>
      </c>
    </row>
    <row r="195" spans="1:5" x14ac:dyDescent="0.3">
      <c r="A195" s="46" t="s">
        <v>433</v>
      </c>
      <c r="B195" s="4">
        <v>7</v>
      </c>
      <c r="C195" s="46" t="s">
        <v>7</v>
      </c>
      <c r="D195" s="46" t="s">
        <v>434</v>
      </c>
      <c r="E195" s="47" t="s">
        <v>435</v>
      </c>
    </row>
    <row r="196" spans="1:5" x14ac:dyDescent="0.3">
      <c r="A196" s="46" t="s">
        <v>436</v>
      </c>
      <c r="B196" s="4">
        <v>22</v>
      </c>
      <c r="C196" s="46" t="s">
        <v>7</v>
      </c>
      <c r="D196" s="46" t="s">
        <v>437</v>
      </c>
      <c r="E196" s="47" t="s">
        <v>435</v>
      </c>
    </row>
    <row r="197" spans="1:5" x14ac:dyDescent="0.3">
      <c r="A197" s="46" t="s">
        <v>438</v>
      </c>
      <c r="B197" s="4">
        <v>2</v>
      </c>
      <c r="C197" s="46" t="s">
        <v>7</v>
      </c>
      <c r="D197" s="46" t="s">
        <v>439</v>
      </c>
      <c r="E197" s="47" t="s">
        <v>435</v>
      </c>
    </row>
    <row r="198" spans="1:5" x14ac:dyDescent="0.3">
      <c r="A198" s="46" t="s">
        <v>440</v>
      </c>
      <c r="B198" s="4">
        <v>80</v>
      </c>
      <c r="C198" s="46" t="s">
        <v>7</v>
      </c>
      <c r="D198" s="46" t="s">
        <v>441</v>
      </c>
      <c r="E198" s="47" t="s">
        <v>435</v>
      </c>
    </row>
    <row r="199" spans="1:5" x14ac:dyDescent="0.3">
      <c r="A199" s="46" t="s">
        <v>442</v>
      </c>
      <c r="B199" s="48">
        <f>$B$184-$B$195</f>
        <v>86.8</v>
      </c>
      <c r="C199" s="46" t="s">
        <v>7</v>
      </c>
      <c r="D199" s="46" t="s">
        <v>443</v>
      </c>
      <c r="E199" s="47" t="s">
        <v>435</v>
      </c>
    </row>
    <row r="200" spans="1:5" x14ac:dyDescent="0.3">
      <c r="A200" s="46" t="s">
        <v>444</v>
      </c>
      <c r="B200" s="4">
        <v>56</v>
      </c>
      <c r="C200" s="46" t="s">
        <v>7</v>
      </c>
      <c r="D200" s="46" t="s">
        <v>445</v>
      </c>
      <c r="E200" s="47" t="s">
        <v>435</v>
      </c>
    </row>
    <row r="201" spans="1:5" x14ac:dyDescent="0.3">
      <c r="A201" s="46" t="s">
        <v>446</v>
      </c>
      <c r="B201" s="14">
        <v>35</v>
      </c>
      <c r="C201" s="46" t="s">
        <v>62</v>
      </c>
      <c r="D201" s="46" t="s">
        <v>447</v>
      </c>
      <c r="E201" s="47" t="s">
        <v>435</v>
      </c>
    </row>
    <row r="202" spans="1:5" x14ac:dyDescent="0.3">
      <c r="A202" s="46" t="s">
        <v>448</v>
      </c>
      <c r="B202" s="4">
        <v>8.4</v>
      </c>
      <c r="C202" s="46" t="s">
        <v>7</v>
      </c>
      <c r="D202" s="46" t="s">
        <v>449</v>
      </c>
      <c r="E202" s="47" t="s">
        <v>435</v>
      </c>
    </row>
    <row r="203" spans="1:5" x14ac:dyDescent="0.3">
      <c r="A203" s="46" t="s">
        <v>450</v>
      </c>
      <c r="B203" s="4">
        <v>9.6</v>
      </c>
      <c r="C203" s="46" t="s">
        <v>7</v>
      </c>
      <c r="D203" s="46" t="s">
        <v>451</v>
      </c>
      <c r="E203" s="47" t="s">
        <v>435</v>
      </c>
    </row>
    <row r="204" spans="1:5" x14ac:dyDescent="0.3">
      <c r="A204" s="46" t="s">
        <v>452</v>
      </c>
      <c r="B204" s="4">
        <v>4.05</v>
      </c>
      <c r="C204" s="46" t="s">
        <v>7</v>
      </c>
      <c r="D204" s="46" t="s">
        <v>453</v>
      </c>
      <c r="E204" s="47" t="s">
        <v>435</v>
      </c>
    </row>
    <row r="205" spans="1:5" x14ac:dyDescent="0.3">
      <c r="A205" s="46" t="s">
        <v>454</v>
      </c>
      <c r="B205" s="4">
        <v>16.100000000000001</v>
      </c>
      <c r="C205" s="46" t="s">
        <v>7</v>
      </c>
      <c r="D205" s="46" t="s">
        <v>455</v>
      </c>
      <c r="E205" s="47" t="s">
        <v>435</v>
      </c>
    </row>
    <row r="206" spans="1:5" x14ac:dyDescent="0.3">
      <c r="A206" s="46" t="s">
        <v>456</v>
      </c>
      <c r="B206" s="4">
        <v>13.6</v>
      </c>
      <c r="C206" s="46" t="s">
        <v>7</v>
      </c>
      <c r="D206" s="46" t="s">
        <v>457</v>
      </c>
      <c r="E206" s="47" t="s">
        <v>435</v>
      </c>
    </row>
    <row r="207" spans="1:5" x14ac:dyDescent="0.3">
      <c r="A207" s="46" t="s">
        <v>458</v>
      </c>
      <c r="B207" s="4">
        <v>11</v>
      </c>
      <c r="C207" s="46" t="s">
        <v>7</v>
      </c>
      <c r="D207" s="46" t="s">
        <v>459</v>
      </c>
      <c r="E207" s="47" t="s">
        <v>435</v>
      </c>
    </row>
    <row r="208" spans="1:5" x14ac:dyDescent="0.3">
      <c r="A208" s="46" t="s">
        <v>460</v>
      </c>
      <c r="B208" s="4">
        <v>7.4</v>
      </c>
      <c r="C208" s="46" t="s">
        <v>7</v>
      </c>
      <c r="D208" s="46" t="s">
        <v>461</v>
      </c>
      <c r="E208" s="47" t="s">
        <v>435</v>
      </c>
    </row>
    <row r="209" spans="1:5" x14ac:dyDescent="0.3">
      <c r="A209" s="29" t="s">
        <v>462</v>
      </c>
      <c r="B209" s="4">
        <v>6</v>
      </c>
      <c r="C209" s="29" t="s">
        <v>7</v>
      </c>
      <c r="D209" s="29" t="s">
        <v>463</v>
      </c>
      <c r="E209" s="30" t="s">
        <v>264</v>
      </c>
    </row>
    <row r="210" spans="1:5" x14ac:dyDescent="0.3">
      <c r="A210" s="49" t="s">
        <v>464</v>
      </c>
      <c r="B210" s="50">
        <f>2*$B$218+$B$211</f>
        <v>60.2</v>
      </c>
      <c r="C210" s="49" t="s">
        <v>7</v>
      </c>
      <c r="D210" s="49" t="s">
        <v>465</v>
      </c>
      <c r="E210" s="51" t="s">
        <v>466</v>
      </c>
    </row>
    <row r="211" spans="1:5" x14ac:dyDescent="0.3">
      <c r="A211" s="49" t="s">
        <v>467</v>
      </c>
      <c r="B211" s="4">
        <v>3</v>
      </c>
      <c r="C211" s="49" t="s">
        <v>7</v>
      </c>
      <c r="D211" s="49" t="s">
        <v>468</v>
      </c>
      <c r="E211" s="51" t="s">
        <v>466</v>
      </c>
    </row>
    <row r="212" spans="1:5" x14ac:dyDescent="0.3">
      <c r="A212" s="49" t="s">
        <v>469</v>
      </c>
      <c r="B212" s="50">
        <f>$B$231+$B$229+($B$227-$B$211)/2</f>
        <v>13.049999999999999</v>
      </c>
      <c r="C212" s="49" t="s">
        <v>7</v>
      </c>
      <c r="D212" s="49" t="s">
        <v>470</v>
      </c>
      <c r="E212" s="51" t="s">
        <v>466</v>
      </c>
    </row>
    <row r="213" spans="1:5" x14ac:dyDescent="0.3">
      <c r="A213" s="49" t="s">
        <v>471</v>
      </c>
      <c r="B213" s="4">
        <v>0.3</v>
      </c>
      <c r="C213" s="49" t="s">
        <v>7</v>
      </c>
      <c r="D213" s="49" t="s">
        <v>472</v>
      </c>
      <c r="E213" s="51" t="s">
        <v>466</v>
      </c>
    </row>
    <row r="214" spans="1:5" x14ac:dyDescent="0.3">
      <c r="A214" s="18" t="s">
        <v>473</v>
      </c>
      <c r="B214" s="4">
        <v>0.1</v>
      </c>
      <c r="C214" s="18" t="s">
        <v>7</v>
      </c>
      <c r="D214" s="18" t="s">
        <v>474</v>
      </c>
      <c r="E214" s="19" t="s">
        <v>218</v>
      </c>
    </row>
    <row r="215" spans="1:5" x14ac:dyDescent="0.3">
      <c r="A215" s="18" t="s">
        <v>475</v>
      </c>
      <c r="B215" s="14">
        <v>140</v>
      </c>
      <c r="C215" s="18" t="s">
        <v>62</v>
      </c>
      <c r="D215" s="18" t="s">
        <v>476</v>
      </c>
      <c r="E215" s="19" t="s">
        <v>218</v>
      </c>
    </row>
    <row r="216" spans="1:5" x14ac:dyDescent="0.3">
      <c r="A216" s="18" t="s">
        <v>477</v>
      </c>
      <c r="B216" s="4">
        <v>4</v>
      </c>
      <c r="C216" s="18" t="s">
        <v>7</v>
      </c>
      <c r="D216" s="18" t="s">
        <v>478</v>
      </c>
      <c r="E216" s="19" t="s">
        <v>218</v>
      </c>
    </row>
    <row r="217" spans="1:5" x14ac:dyDescent="0.3">
      <c r="A217" s="18" t="s">
        <v>479</v>
      </c>
      <c r="B217" s="20">
        <f>$B$210/2+$B$211+0.5</f>
        <v>33.6</v>
      </c>
      <c r="C217" s="18" t="s">
        <v>7</v>
      </c>
      <c r="D217" s="18" t="s">
        <v>480</v>
      </c>
      <c r="E217" s="19" t="s">
        <v>218</v>
      </c>
    </row>
    <row r="218" spans="1:5" x14ac:dyDescent="0.3">
      <c r="A218" s="49" t="s">
        <v>481</v>
      </c>
      <c r="B218" s="4">
        <v>28.6</v>
      </c>
      <c r="C218" s="49" t="s">
        <v>7</v>
      </c>
      <c r="D218" s="49" t="s">
        <v>482</v>
      </c>
      <c r="E218" s="51" t="s">
        <v>466</v>
      </c>
    </row>
    <row r="219" spans="1:5" x14ac:dyDescent="0.3">
      <c r="A219" s="49" t="s">
        <v>483</v>
      </c>
      <c r="B219" s="14">
        <v>5.9</v>
      </c>
      <c r="C219" s="49" t="s">
        <v>87</v>
      </c>
      <c r="D219" s="49" t="s">
        <v>484</v>
      </c>
      <c r="E219" s="51" t="s">
        <v>466</v>
      </c>
    </row>
    <row r="220" spans="1:5" x14ac:dyDescent="0.3">
      <c r="A220" s="49" t="s">
        <v>485</v>
      </c>
      <c r="B220" s="4">
        <v>5</v>
      </c>
      <c r="C220" s="49" t="s">
        <v>7</v>
      </c>
      <c r="D220" s="49" t="s">
        <v>486</v>
      </c>
      <c r="E220" s="51" t="s">
        <v>466</v>
      </c>
    </row>
    <row r="221" spans="1:5" x14ac:dyDescent="0.3">
      <c r="A221" s="49" t="s">
        <v>487</v>
      </c>
      <c r="B221" s="50">
        <f>$B$219*SQRT((2*PI()*$B$218)^2+$B$220^2)</f>
        <v>1060.6350176191677</v>
      </c>
      <c r="C221" s="49" t="s">
        <v>7</v>
      </c>
      <c r="D221" s="49" t="s">
        <v>488</v>
      </c>
      <c r="E221" s="51" t="s">
        <v>466</v>
      </c>
    </row>
    <row r="222" spans="1:5" x14ac:dyDescent="0.3">
      <c r="A222" s="3" t="s">
        <v>489</v>
      </c>
      <c r="B222" s="4">
        <v>52.2</v>
      </c>
      <c r="C222" s="3" t="s">
        <v>7</v>
      </c>
      <c r="D222" s="3" t="s">
        <v>490</v>
      </c>
      <c r="E222" s="5" t="s">
        <v>9</v>
      </c>
    </row>
    <row r="223" spans="1:5" x14ac:dyDescent="0.3">
      <c r="A223" s="52" t="s">
        <v>491</v>
      </c>
      <c r="B223" s="4">
        <v>0.05</v>
      </c>
      <c r="C223" s="52" t="s">
        <v>7</v>
      </c>
      <c r="D223" s="52" t="s">
        <v>492</v>
      </c>
      <c r="E223" s="53" t="s">
        <v>493</v>
      </c>
    </row>
    <row r="224" spans="1:5" x14ac:dyDescent="0.3">
      <c r="A224" s="52" t="s">
        <v>494</v>
      </c>
      <c r="B224" s="54">
        <f>$B$222+2*$B$223</f>
        <v>52.300000000000004</v>
      </c>
      <c r="C224" s="52" t="s">
        <v>7</v>
      </c>
      <c r="D224" s="52" t="s">
        <v>495</v>
      </c>
      <c r="E224" s="53" t="s">
        <v>493</v>
      </c>
    </row>
    <row r="225" spans="1:5" x14ac:dyDescent="0.3">
      <c r="A225" s="52" t="s">
        <v>496</v>
      </c>
      <c r="B225" s="4">
        <v>0.6</v>
      </c>
      <c r="C225" s="52" t="s">
        <v>7</v>
      </c>
      <c r="D225" s="52" t="s">
        <v>497</v>
      </c>
      <c r="E225" s="53" t="s">
        <v>493</v>
      </c>
    </row>
    <row r="226" spans="1:5" x14ac:dyDescent="0.3">
      <c r="A226" s="52" t="s">
        <v>498</v>
      </c>
      <c r="B226" s="54">
        <f>2*($B$218+$B$225)</f>
        <v>58.400000000000006</v>
      </c>
      <c r="C226" s="52" t="s">
        <v>7</v>
      </c>
      <c r="D226" s="52" t="s">
        <v>499</v>
      </c>
      <c r="E226" s="53" t="s">
        <v>493</v>
      </c>
    </row>
    <row r="227" spans="1:5" x14ac:dyDescent="0.3">
      <c r="A227" s="52" t="s">
        <v>500</v>
      </c>
      <c r="B227" s="54">
        <f>$B$211+0.3</f>
        <v>3.3</v>
      </c>
      <c r="C227" s="52" t="s">
        <v>7</v>
      </c>
      <c r="D227" s="52" t="s">
        <v>501</v>
      </c>
      <c r="E227" s="53" t="s">
        <v>493</v>
      </c>
    </row>
    <row r="228" spans="1:5" x14ac:dyDescent="0.3">
      <c r="A228" s="52" t="s">
        <v>502</v>
      </c>
      <c r="B228" s="54">
        <f>2*$B$218-$B$211</f>
        <v>54.2</v>
      </c>
      <c r="C228" s="52" t="s">
        <v>7</v>
      </c>
      <c r="D228" s="52" t="s">
        <v>503</v>
      </c>
      <c r="E228" s="53" t="s">
        <v>493</v>
      </c>
    </row>
    <row r="229" spans="1:5" x14ac:dyDescent="0.3">
      <c r="A229" s="52" t="s">
        <v>504</v>
      </c>
      <c r="B229" s="4">
        <v>1</v>
      </c>
      <c r="C229" s="52" t="s">
        <v>7</v>
      </c>
      <c r="D229" s="52" t="s">
        <v>505</v>
      </c>
      <c r="E229" s="53" t="s">
        <v>493</v>
      </c>
    </row>
    <row r="230" spans="1:5" x14ac:dyDescent="0.3">
      <c r="A230" s="52" t="s">
        <v>506</v>
      </c>
      <c r="B230" s="4">
        <v>0.3</v>
      </c>
      <c r="C230" s="52" t="s">
        <v>7</v>
      </c>
      <c r="D230" s="52" t="s">
        <v>507</v>
      </c>
      <c r="E230" s="53" t="s">
        <v>493</v>
      </c>
    </row>
    <row r="231" spans="1:5" x14ac:dyDescent="0.3">
      <c r="A231" s="52" t="s">
        <v>508</v>
      </c>
      <c r="B231" s="54">
        <f>$B$8+$B$6+$B$241</f>
        <v>11.899999999999999</v>
      </c>
      <c r="C231" s="52" t="s">
        <v>7</v>
      </c>
      <c r="D231" s="52" t="s">
        <v>509</v>
      </c>
      <c r="E231" s="53" t="s">
        <v>493</v>
      </c>
    </row>
    <row r="232" spans="1:5" x14ac:dyDescent="0.3">
      <c r="A232" s="52" t="s">
        <v>510</v>
      </c>
      <c r="B232" s="54">
        <f>$B$229+$B$227+$B$219*$B$220+1</f>
        <v>34.799999999999997</v>
      </c>
      <c r="C232" s="52" t="s">
        <v>7</v>
      </c>
      <c r="D232" s="52" t="s">
        <v>511</v>
      </c>
      <c r="E232" s="53" t="s">
        <v>493</v>
      </c>
    </row>
    <row r="233" spans="1:5" x14ac:dyDescent="0.3">
      <c r="A233" s="52" t="s">
        <v>512</v>
      </c>
      <c r="B233" s="14">
        <v>4</v>
      </c>
      <c r="C233" s="52" t="s">
        <v>87</v>
      </c>
      <c r="D233" s="52" t="s">
        <v>513</v>
      </c>
      <c r="E233" s="53" t="s">
        <v>493</v>
      </c>
    </row>
    <row r="234" spans="1:5" x14ac:dyDescent="0.3">
      <c r="A234" s="52" t="s">
        <v>514</v>
      </c>
      <c r="B234" s="4">
        <v>5</v>
      </c>
      <c r="C234" s="52" t="s">
        <v>7</v>
      </c>
      <c r="D234" s="52" t="s">
        <v>515</v>
      </c>
      <c r="E234" s="53" t="s">
        <v>493</v>
      </c>
    </row>
    <row r="235" spans="1:5" x14ac:dyDescent="0.3">
      <c r="A235" s="52" t="s">
        <v>516</v>
      </c>
      <c r="B235" s="14">
        <v>32</v>
      </c>
      <c r="C235" s="52" t="s">
        <v>62</v>
      </c>
      <c r="D235" s="52" t="s">
        <v>517</v>
      </c>
      <c r="E235" s="53" t="s">
        <v>493</v>
      </c>
    </row>
    <row r="236" spans="1:5" x14ac:dyDescent="0.3">
      <c r="A236" s="49" t="s">
        <v>518</v>
      </c>
      <c r="B236" s="55">
        <f>MOD($B$215+360*$B$219,360)</f>
        <v>104</v>
      </c>
      <c r="C236" s="49" t="s">
        <v>62</v>
      </c>
      <c r="D236" s="49" t="s">
        <v>519</v>
      </c>
      <c r="E236" s="51" t="s">
        <v>466</v>
      </c>
    </row>
    <row r="237" spans="1:5" x14ac:dyDescent="0.3">
      <c r="A237" s="49" t="s">
        <v>520</v>
      </c>
      <c r="B237" s="50">
        <f>$B$210/2+0.4+$B$211/2</f>
        <v>32</v>
      </c>
      <c r="C237" s="49" t="s">
        <v>7</v>
      </c>
      <c r="D237" s="49" t="s">
        <v>521</v>
      </c>
      <c r="E237" s="51" t="s">
        <v>466</v>
      </c>
    </row>
    <row r="238" spans="1:5" x14ac:dyDescent="0.3">
      <c r="A238" s="49" t="s">
        <v>522</v>
      </c>
      <c r="B238" s="4">
        <v>15</v>
      </c>
      <c r="C238" s="49" t="s">
        <v>7</v>
      </c>
      <c r="D238" s="49" t="s">
        <v>523</v>
      </c>
      <c r="E238" s="51" t="s">
        <v>466</v>
      </c>
    </row>
    <row r="239" spans="1:5" x14ac:dyDescent="0.3">
      <c r="A239" s="52" t="s">
        <v>524</v>
      </c>
      <c r="B239" s="56">
        <f>MOD($B$235-$B$215,360/$B$233)</f>
        <v>72</v>
      </c>
      <c r="C239" s="52" t="s">
        <v>62</v>
      </c>
      <c r="D239" s="52" t="s">
        <v>525</v>
      </c>
      <c r="E239" s="53" t="s">
        <v>493</v>
      </c>
    </row>
    <row r="240" spans="1:5" x14ac:dyDescent="0.3">
      <c r="A240" s="18" t="s">
        <v>526</v>
      </c>
      <c r="B240" s="4">
        <v>54</v>
      </c>
      <c r="C240" s="18" t="s">
        <v>7</v>
      </c>
      <c r="D240" s="18" t="s">
        <v>527</v>
      </c>
      <c r="E240" s="19" t="s">
        <v>218</v>
      </c>
    </row>
    <row r="241" spans="1:5" x14ac:dyDescent="0.3">
      <c r="A241" s="18" t="s">
        <v>528</v>
      </c>
      <c r="B241" s="4">
        <v>1.2</v>
      </c>
      <c r="C241" s="18" t="s">
        <v>7</v>
      </c>
      <c r="D241" s="18" t="s">
        <v>529</v>
      </c>
      <c r="E241" s="19" t="s">
        <v>218</v>
      </c>
    </row>
    <row r="242" spans="1:5" x14ac:dyDescent="0.3">
      <c r="A242" s="18" t="s">
        <v>530</v>
      </c>
      <c r="B242" s="20">
        <f>$B$93-($B$95+$B$241)</f>
        <v>4.3000000000000007</v>
      </c>
      <c r="C242" s="18" t="s">
        <v>7</v>
      </c>
      <c r="D242" s="18" t="s">
        <v>531</v>
      </c>
      <c r="E242" s="19" t="s">
        <v>218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9"/>
  <sheetViews>
    <sheetView zoomScaleNormal="100" workbookViewId="0"/>
  </sheetViews>
  <sheetFormatPr baseColWidth="10" defaultColWidth="8.6640625" defaultRowHeight="14.4" x14ac:dyDescent="0.3"/>
  <cols>
    <col min="1" max="1" width="5" customWidth="1"/>
    <col min="2" max="2" width="28" customWidth="1"/>
    <col min="3" max="3" width="78" customWidth="1"/>
    <col min="4" max="4" width="52" customWidth="1"/>
  </cols>
  <sheetData>
    <row r="1" spans="1:4" ht="15.6" x14ac:dyDescent="0.3">
      <c r="A1" s="57" t="s">
        <v>532</v>
      </c>
    </row>
    <row r="3" spans="1:4" x14ac:dyDescent="0.3">
      <c r="A3" s="1" t="s">
        <v>533</v>
      </c>
      <c r="B3" s="1" t="s">
        <v>534</v>
      </c>
      <c r="C3" s="1" t="s">
        <v>535</v>
      </c>
      <c r="D3" s="1" t="s">
        <v>536</v>
      </c>
    </row>
    <row r="5" spans="1:4" x14ac:dyDescent="0.3">
      <c r="A5" s="58" t="s">
        <v>537</v>
      </c>
      <c r="B5" s="59"/>
      <c r="C5" s="59"/>
      <c r="D5" s="59"/>
    </row>
    <row r="6" spans="1:4" x14ac:dyDescent="0.3">
      <c r="A6" s="60">
        <v>1</v>
      </c>
      <c r="B6" s="61" t="s">
        <v>538</v>
      </c>
      <c r="C6" s="60" t="s">
        <v>539</v>
      </c>
      <c r="D6" s="62"/>
    </row>
    <row r="7" spans="1:4" ht="26.4" x14ac:dyDescent="0.3">
      <c r="A7" s="60">
        <v>2</v>
      </c>
      <c r="B7" s="61" t="s">
        <v>540</v>
      </c>
      <c r="C7" s="60" t="s">
        <v>541</v>
      </c>
      <c r="D7" s="62" t="s">
        <v>542</v>
      </c>
    </row>
    <row r="8" spans="1:4" ht="26.4" x14ac:dyDescent="0.3">
      <c r="A8" s="60">
        <v>3</v>
      </c>
      <c r="B8" s="61" t="s">
        <v>543</v>
      </c>
      <c r="C8" s="60" t="s">
        <v>544</v>
      </c>
      <c r="D8" s="62" t="s">
        <v>545</v>
      </c>
    </row>
    <row r="9" spans="1:4" ht="39.6" x14ac:dyDescent="0.3">
      <c r="A9" s="60">
        <v>4</v>
      </c>
      <c r="B9" s="61" t="s">
        <v>546</v>
      </c>
      <c r="C9" s="60" t="s">
        <v>547</v>
      </c>
      <c r="D9" s="62"/>
    </row>
    <row r="10" spans="1:4" ht="39.6" x14ac:dyDescent="0.3">
      <c r="A10" s="60">
        <v>5</v>
      </c>
      <c r="B10" s="61" t="s">
        <v>548</v>
      </c>
      <c r="C10" s="60" t="s">
        <v>549</v>
      </c>
      <c r="D10" s="62" t="s">
        <v>550</v>
      </c>
    </row>
    <row r="11" spans="1:4" ht="52.8" x14ac:dyDescent="0.3">
      <c r="A11" s="60">
        <v>6</v>
      </c>
      <c r="B11" s="61" t="s">
        <v>85</v>
      </c>
      <c r="C11" s="60" t="s">
        <v>551</v>
      </c>
      <c r="D11" s="62" t="s">
        <v>552</v>
      </c>
    </row>
    <row r="12" spans="1:4" ht="211.2" x14ac:dyDescent="0.3">
      <c r="A12" s="60">
        <v>7</v>
      </c>
      <c r="B12" s="61" t="s">
        <v>553</v>
      </c>
      <c r="C12" s="60" t="s">
        <v>554</v>
      </c>
      <c r="D12" s="62" t="s">
        <v>555</v>
      </c>
    </row>
    <row r="13" spans="1:4" ht="26.4" x14ac:dyDescent="0.3">
      <c r="A13" s="60">
        <v>8</v>
      </c>
      <c r="B13" s="61" t="s">
        <v>556</v>
      </c>
      <c r="C13" s="60" t="s">
        <v>557</v>
      </c>
      <c r="D13" s="62" t="s">
        <v>558</v>
      </c>
    </row>
    <row r="14" spans="1:4" ht="26.4" x14ac:dyDescent="0.3">
      <c r="A14" s="60">
        <v>9</v>
      </c>
      <c r="B14" s="61" t="s">
        <v>559</v>
      </c>
      <c r="C14" s="60" t="s">
        <v>560</v>
      </c>
      <c r="D14" s="62" t="s">
        <v>561</v>
      </c>
    </row>
    <row r="16" spans="1:4" x14ac:dyDescent="0.3">
      <c r="A16" s="58" t="s">
        <v>27</v>
      </c>
      <c r="B16" s="59"/>
      <c r="C16" s="63" t="s">
        <v>562</v>
      </c>
      <c r="D16" s="59"/>
    </row>
    <row r="17" spans="1:4" x14ac:dyDescent="0.3">
      <c r="A17" s="60">
        <v>1</v>
      </c>
      <c r="B17" s="61" t="s">
        <v>563</v>
      </c>
      <c r="C17" s="60" t="s">
        <v>564</v>
      </c>
      <c r="D17" s="62" t="s">
        <v>565</v>
      </c>
    </row>
    <row r="18" spans="1:4" x14ac:dyDescent="0.3">
      <c r="A18" s="60">
        <v>2</v>
      </c>
      <c r="B18" s="61" t="s">
        <v>566</v>
      </c>
      <c r="C18" s="60" t="s">
        <v>567</v>
      </c>
      <c r="D18" s="62" t="s">
        <v>25</v>
      </c>
    </row>
    <row r="19" spans="1:4" x14ac:dyDescent="0.3">
      <c r="A19" s="60">
        <v>3</v>
      </c>
      <c r="B19" s="61" t="s">
        <v>568</v>
      </c>
      <c r="C19" s="60" t="s">
        <v>569</v>
      </c>
      <c r="D19" s="62" t="s">
        <v>570</v>
      </c>
    </row>
    <row r="20" spans="1:4" x14ac:dyDescent="0.3">
      <c r="A20" s="60">
        <v>4</v>
      </c>
      <c r="B20" s="61" t="s">
        <v>571</v>
      </c>
      <c r="C20" s="60" t="s">
        <v>572</v>
      </c>
      <c r="D20" s="62" t="s">
        <v>573</v>
      </c>
    </row>
    <row r="21" spans="1:4" x14ac:dyDescent="0.3">
      <c r="A21" s="60">
        <v>5</v>
      </c>
      <c r="B21" s="61" t="s">
        <v>574</v>
      </c>
      <c r="C21" s="60" t="s">
        <v>575</v>
      </c>
      <c r="D21" s="62" t="s">
        <v>576</v>
      </c>
    </row>
    <row r="22" spans="1:4" ht="39.6" x14ac:dyDescent="0.3">
      <c r="A22" s="60">
        <v>6</v>
      </c>
      <c r="B22" s="61" t="s">
        <v>577</v>
      </c>
      <c r="C22" s="60" t="s">
        <v>578</v>
      </c>
      <c r="D22" s="62" t="s">
        <v>579</v>
      </c>
    </row>
    <row r="23" spans="1:4" ht="26.4" x14ac:dyDescent="0.3">
      <c r="A23" s="60">
        <v>7</v>
      </c>
      <c r="B23" s="61" t="s">
        <v>580</v>
      </c>
      <c r="C23" s="60" t="s">
        <v>581</v>
      </c>
      <c r="D23" s="62" t="s">
        <v>582</v>
      </c>
    </row>
    <row r="24" spans="1:4" ht="26.4" x14ac:dyDescent="0.3">
      <c r="A24" s="60">
        <v>8</v>
      </c>
      <c r="B24" s="61" t="s">
        <v>583</v>
      </c>
      <c r="C24" s="60" t="s">
        <v>584</v>
      </c>
      <c r="D24" s="62"/>
    </row>
    <row r="26" spans="1:4" x14ac:dyDescent="0.3">
      <c r="A26" s="58" t="s">
        <v>42</v>
      </c>
      <c r="B26" s="59"/>
      <c r="C26" s="63" t="s">
        <v>585</v>
      </c>
      <c r="D26" s="59"/>
    </row>
    <row r="27" spans="1:4" x14ac:dyDescent="0.3">
      <c r="A27" s="60">
        <v>1</v>
      </c>
      <c r="B27" s="61" t="s">
        <v>586</v>
      </c>
      <c r="C27" s="60" t="s">
        <v>587</v>
      </c>
      <c r="D27" s="62" t="s">
        <v>588</v>
      </c>
    </row>
    <row r="28" spans="1:4" x14ac:dyDescent="0.3">
      <c r="A28" s="60">
        <v>2</v>
      </c>
      <c r="B28" s="61" t="s">
        <v>566</v>
      </c>
      <c r="C28" s="60" t="s">
        <v>589</v>
      </c>
      <c r="D28" s="62" t="s">
        <v>40</v>
      </c>
    </row>
    <row r="29" spans="1:4" ht="26.4" x14ac:dyDescent="0.3">
      <c r="A29" s="60">
        <v>3</v>
      </c>
      <c r="B29" s="61" t="s">
        <v>590</v>
      </c>
      <c r="C29" s="60" t="s">
        <v>591</v>
      </c>
      <c r="D29" s="62"/>
    </row>
    <row r="30" spans="1:4" ht="39.6" x14ac:dyDescent="0.3">
      <c r="A30" s="60">
        <v>4</v>
      </c>
      <c r="B30" s="61" t="s">
        <v>592</v>
      </c>
      <c r="C30" s="60" t="s">
        <v>593</v>
      </c>
      <c r="D30" s="62" t="s">
        <v>594</v>
      </c>
    </row>
    <row r="31" spans="1:4" ht="26.4" x14ac:dyDescent="0.3">
      <c r="A31" s="60">
        <v>5</v>
      </c>
      <c r="B31" s="61" t="s">
        <v>595</v>
      </c>
      <c r="C31" s="60" t="s">
        <v>596</v>
      </c>
      <c r="D31" s="62"/>
    </row>
    <row r="32" spans="1:4" ht="26.4" x14ac:dyDescent="0.3">
      <c r="A32" s="60">
        <v>6</v>
      </c>
      <c r="B32" s="61" t="s">
        <v>597</v>
      </c>
      <c r="C32" s="60" t="s">
        <v>598</v>
      </c>
      <c r="D32" s="62"/>
    </row>
    <row r="33" spans="1:4" x14ac:dyDescent="0.3">
      <c r="A33" s="60">
        <v>7</v>
      </c>
      <c r="B33" s="61" t="s">
        <v>599</v>
      </c>
      <c r="C33" s="60" t="s">
        <v>600</v>
      </c>
      <c r="D33" s="62"/>
    </row>
    <row r="34" spans="1:4" ht="39.6" x14ac:dyDescent="0.3">
      <c r="A34" s="60">
        <v>8</v>
      </c>
      <c r="B34" s="61" t="s">
        <v>601</v>
      </c>
      <c r="C34" s="60" t="s">
        <v>602</v>
      </c>
      <c r="D34" s="62" t="s">
        <v>603</v>
      </c>
    </row>
    <row r="35" spans="1:4" ht="26.4" x14ac:dyDescent="0.3">
      <c r="A35" s="60">
        <v>9</v>
      </c>
      <c r="B35" s="61" t="s">
        <v>604</v>
      </c>
      <c r="C35" s="60" t="s">
        <v>605</v>
      </c>
      <c r="D35" s="62" t="s">
        <v>57</v>
      </c>
    </row>
    <row r="36" spans="1:4" x14ac:dyDescent="0.3">
      <c r="A36" s="60">
        <v>10</v>
      </c>
      <c r="B36" s="61" t="s">
        <v>606</v>
      </c>
      <c r="C36" s="60" t="s">
        <v>607</v>
      </c>
      <c r="D36" s="62" t="s">
        <v>40</v>
      </c>
    </row>
    <row r="37" spans="1:4" ht="26.4" x14ac:dyDescent="0.3">
      <c r="A37" s="60">
        <v>11</v>
      </c>
      <c r="B37" s="61" t="s">
        <v>608</v>
      </c>
      <c r="C37" s="60" t="s">
        <v>609</v>
      </c>
      <c r="D37" s="62"/>
    </row>
    <row r="38" spans="1:4" ht="26.4" x14ac:dyDescent="0.3">
      <c r="A38" s="60">
        <v>12</v>
      </c>
      <c r="B38" s="61" t="s">
        <v>610</v>
      </c>
      <c r="C38" s="60" t="s">
        <v>611</v>
      </c>
      <c r="D38" s="62" t="s">
        <v>612</v>
      </c>
    </row>
    <row r="39" spans="1:4" ht="66" x14ac:dyDescent="0.3">
      <c r="A39" s="60">
        <v>13</v>
      </c>
      <c r="B39" s="61" t="s">
        <v>613</v>
      </c>
      <c r="C39" s="60" t="s">
        <v>614</v>
      </c>
      <c r="D39" s="62" t="s">
        <v>615</v>
      </c>
    </row>
    <row r="40" spans="1:4" x14ac:dyDescent="0.3">
      <c r="A40" s="60">
        <v>14</v>
      </c>
      <c r="B40" s="61" t="s">
        <v>616</v>
      </c>
      <c r="C40" s="60" t="s">
        <v>617</v>
      </c>
      <c r="D40" s="62"/>
    </row>
    <row r="41" spans="1:4" ht="39.6" x14ac:dyDescent="0.3">
      <c r="A41" s="60">
        <v>15</v>
      </c>
      <c r="B41" s="61" t="s">
        <v>618</v>
      </c>
      <c r="C41" s="60" t="s">
        <v>619</v>
      </c>
      <c r="D41" s="62" t="s">
        <v>570</v>
      </c>
    </row>
    <row r="42" spans="1:4" ht="26.4" x14ac:dyDescent="0.3">
      <c r="A42" s="60">
        <v>16</v>
      </c>
      <c r="B42" s="61" t="s">
        <v>620</v>
      </c>
      <c r="C42" s="60" t="s">
        <v>621</v>
      </c>
      <c r="D42" s="62" t="s">
        <v>622</v>
      </c>
    </row>
    <row r="43" spans="1:4" x14ac:dyDescent="0.3">
      <c r="A43" s="60">
        <v>17</v>
      </c>
      <c r="B43" s="61" t="s">
        <v>574</v>
      </c>
      <c r="C43" s="60" t="s">
        <v>623</v>
      </c>
      <c r="D43" s="62" t="s">
        <v>576</v>
      </c>
    </row>
    <row r="44" spans="1:4" ht="52.8" x14ac:dyDescent="0.3">
      <c r="A44" s="60">
        <v>18</v>
      </c>
      <c r="B44" s="61" t="s">
        <v>624</v>
      </c>
      <c r="C44" s="60" t="s">
        <v>625</v>
      </c>
      <c r="D44" s="62" t="s">
        <v>626</v>
      </c>
    </row>
    <row r="45" spans="1:4" ht="39.6" x14ac:dyDescent="0.3">
      <c r="A45" s="60">
        <v>19</v>
      </c>
      <c r="B45" s="61" t="s">
        <v>595</v>
      </c>
      <c r="C45" s="60" t="s">
        <v>627</v>
      </c>
      <c r="D45" s="62" t="s">
        <v>628</v>
      </c>
    </row>
    <row r="46" spans="1:4" ht="26.4" x14ac:dyDescent="0.3">
      <c r="A46" s="60">
        <v>20</v>
      </c>
      <c r="B46" s="61" t="s">
        <v>616</v>
      </c>
      <c r="C46" s="60" t="s">
        <v>629</v>
      </c>
      <c r="D46" s="62" t="s">
        <v>630</v>
      </c>
    </row>
    <row r="47" spans="1:4" x14ac:dyDescent="0.3">
      <c r="A47" s="60">
        <v>21</v>
      </c>
      <c r="B47" s="61" t="s">
        <v>574</v>
      </c>
      <c r="C47" s="60" t="s">
        <v>631</v>
      </c>
      <c r="D47" s="62" t="s">
        <v>576</v>
      </c>
    </row>
    <row r="48" spans="1:4" ht="26.4" x14ac:dyDescent="0.3">
      <c r="A48" s="60">
        <v>22</v>
      </c>
      <c r="B48" s="61" t="s">
        <v>632</v>
      </c>
      <c r="C48" s="60" t="s">
        <v>633</v>
      </c>
      <c r="D48" s="62"/>
    </row>
    <row r="49" spans="1:4" ht="26.4" x14ac:dyDescent="0.3">
      <c r="A49" s="60">
        <v>23</v>
      </c>
      <c r="B49" s="61" t="s">
        <v>634</v>
      </c>
      <c r="C49" s="60" t="s">
        <v>635</v>
      </c>
      <c r="D49" s="62" t="s">
        <v>636</v>
      </c>
    </row>
    <row r="50" spans="1:4" ht="39.6" x14ac:dyDescent="0.3">
      <c r="A50" s="60">
        <v>24</v>
      </c>
      <c r="B50" s="61" t="s">
        <v>637</v>
      </c>
      <c r="C50" s="60" t="s">
        <v>638</v>
      </c>
      <c r="D50" s="62" t="s">
        <v>639</v>
      </c>
    </row>
    <row r="52" spans="1:4" x14ac:dyDescent="0.3">
      <c r="A52" s="58" t="s">
        <v>640</v>
      </c>
      <c r="B52" s="59"/>
      <c r="C52" s="63" t="s">
        <v>641</v>
      </c>
      <c r="D52" s="59"/>
    </row>
    <row r="53" spans="1:4" x14ac:dyDescent="0.3">
      <c r="A53" s="60">
        <v>1</v>
      </c>
      <c r="B53" s="61" t="s">
        <v>642</v>
      </c>
      <c r="C53" s="60" t="s">
        <v>643</v>
      </c>
      <c r="D53" s="62"/>
    </row>
    <row r="54" spans="1:4" ht="118.8" x14ac:dyDescent="0.3">
      <c r="A54" s="60">
        <v>2</v>
      </c>
      <c r="B54" s="61" t="s">
        <v>644</v>
      </c>
      <c r="C54" s="60" t="s">
        <v>645</v>
      </c>
      <c r="D54" s="62" t="s">
        <v>646</v>
      </c>
    </row>
    <row r="55" spans="1:4" x14ac:dyDescent="0.3">
      <c r="A55" s="60">
        <v>3</v>
      </c>
      <c r="B55" s="61" t="s">
        <v>647</v>
      </c>
      <c r="C55" s="60" t="s">
        <v>648</v>
      </c>
      <c r="D55" s="62"/>
    </row>
    <row r="56" spans="1:4" ht="39.6" x14ac:dyDescent="0.3">
      <c r="A56" s="60">
        <v>4</v>
      </c>
      <c r="B56" s="61" t="s">
        <v>618</v>
      </c>
      <c r="C56" s="60" t="s">
        <v>649</v>
      </c>
      <c r="D56" s="62" t="s">
        <v>650</v>
      </c>
    </row>
    <row r="57" spans="1:4" x14ac:dyDescent="0.3">
      <c r="A57" s="60">
        <v>5</v>
      </c>
      <c r="B57" s="61" t="s">
        <v>616</v>
      </c>
      <c r="C57" s="60" t="s">
        <v>651</v>
      </c>
      <c r="D57" s="62" t="s">
        <v>652</v>
      </c>
    </row>
    <row r="58" spans="1:4" ht="39.6" x14ac:dyDescent="0.3">
      <c r="A58" s="60">
        <v>6</v>
      </c>
      <c r="B58" s="61" t="s">
        <v>653</v>
      </c>
      <c r="C58" s="60" t="s">
        <v>654</v>
      </c>
      <c r="D58" s="62" t="s">
        <v>655</v>
      </c>
    </row>
    <row r="59" spans="1:4" ht="39.6" x14ac:dyDescent="0.3">
      <c r="A59" s="60">
        <v>7</v>
      </c>
      <c r="B59" s="61" t="s">
        <v>571</v>
      </c>
      <c r="C59" s="60" t="s">
        <v>656</v>
      </c>
      <c r="D59" s="62" t="s">
        <v>657</v>
      </c>
    </row>
    <row r="60" spans="1:4" x14ac:dyDescent="0.3">
      <c r="A60" s="60">
        <v>8</v>
      </c>
      <c r="B60" s="61" t="s">
        <v>574</v>
      </c>
      <c r="C60" s="60"/>
      <c r="D60" s="62" t="s">
        <v>576</v>
      </c>
    </row>
    <row r="61" spans="1:4" x14ac:dyDescent="0.3">
      <c r="A61" s="60">
        <v>9</v>
      </c>
      <c r="B61" s="61" t="s">
        <v>568</v>
      </c>
      <c r="C61" s="60" t="s">
        <v>658</v>
      </c>
      <c r="D61" s="62" t="s">
        <v>659</v>
      </c>
    </row>
    <row r="62" spans="1:4" ht="39.6" x14ac:dyDescent="0.3">
      <c r="A62" s="60">
        <v>10</v>
      </c>
      <c r="B62" s="61" t="s">
        <v>571</v>
      </c>
      <c r="C62" s="60" t="s">
        <v>660</v>
      </c>
      <c r="D62" s="62" t="s">
        <v>661</v>
      </c>
    </row>
    <row r="63" spans="1:4" x14ac:dyDescent="0.3">
      <c r="A63" s="60">
        <v>11</v>
      </c>
      <c r="B63" s="61" t="s">
        <v>574</v>
      </c>
      <c r="C63" s="60"/>
      <c r="D63" s="62" t="s">
        <v>662</v>
      </c>
    </row>
    <row r="64" spans="1:4" x14ac:dyDescent="0.3">
      <c r="A64" s="60">
        <v>12</v>
      </c>
      <c r="B64" s="61" t="s">
        <v>568</v>
      </c>
      <c r="C64" s="60" t="s">
        <v>663</v>
      </c>
      <c r="D64" s="62" t="s">
        <v>664</v>
      </c>
    </row>
    <row r="65" spans="1:4" x14ac:dyDescent="0.3">
      <c r="A65" s="60">
        <v>13</v>
      </c>
      <c r="B65" s="61" t="s">
        <v>571</v>
      </c>
      <c r="C65" s="60" t="s">
        <v>665</v>
      </c>
      <c r="D65" s="62" t="s">
        <v>666</v>
      </c>
    </row>
    <row r="66" spans="1:4" ht="26.4" x14ac:dyDescent="0.3">
      <c r="A66" s="60">
        <v>14</v>
      </c>
      <c r="B66" s="61" t="s">
        <v>667</v>
      </c>
      <c r="C66" s="60" t="s">
        <v>668</v>
      </c>
      <c r="D66" s="62" t="s">
        <v>669</v>
      </c>
    </row>
    <row r="67" spans="1:4" x14ac:dyDescent="0.3">
      <c r="A67" s="60">
        <v>15</v>
      </c>
      <c r="B67" s="61" t="s">
        <v>571</v>
      </c>
      <c r="C67" s="60" t="s">
        <v>670</v>
      </c>
      <c r="D67" s="62" t="s">
        <v>671</v>
      </c>
    </row>
    <row r="68" spans="1:4" x14ac:dyDescent="0.3">
      <c r="A68" s="60">
        <v>16</v>
      </c>
      <c r="B68" s="61" t="s">
        <v>574</v>
      </c>
      <c r="C68" s="60" t="s">
        <v>672</v>
      </c>
      <c r="D68" s="62" t="s">
        <v>673</v>
      </c>
    </row>
    <row r="69" spans="1:4" ht="52.8" x14ac:dyDescent="0.3">
      <c r="A69" s="60">
        <v>17</v>
      </c>
      <c r="B69" s="61" t="s">
        <v>568</v>
      </c>
      <c r="C69" s="60" t="s">
        <v>674</v>
      </c>
      <c r="D69" s="62"/>
    </row>
    <row r="70" spans="1:4" ht="92.4" x14ac:dyDescent="0.3">
      <c r="A70" s="60">
        <v>18</v>
      </c>
      <c r="B70" s="61" t="s">
        <v>675</v>
      </c>
      <c r="C70" s="60" t="s">
        <v>676</v>
      </c>
      <c r="D70" s="62" t="s">
        <v>677</v>
      </c>
    </row>
    <row r="71" spans="1:4" ht="26.4" x14ac:dyDescent="0.3">
      <c r="A71" s="60">
        <v>19</v>
      </c>
      <c r="B71" s="61" t="s">
        <v>616</v>
      </c>
      <c r="C71" s="60" t="s">
        <v>678</v>
      </c>
      <c r="D71" s="62" t="s">
        <v>679</v>
      </c>
    </row>
    <row r="72" spans="1:4" ht="26.4" x14ac:dyDescent="0.3">
      <c r="A72" s="60">
        <v>20</v>
      </c>
      <c r="B72" s="61" t="s">
        <v>632</v>
      </c>
      <c r="C72" s="60" t="s">
        <v>680</v>
      </c>
      <c r="D72" s="62"/>
    </row>
    <row r="73" spans="1:4" ht="26.4" x14ac:dyDescent="0.3">
      <c r="A73" s="60">
        <v>21</v>
      </c>
      <c r="B73" s="61" t="s">
        <v>681</v>
      </c>
      <c r="C73" s="60" t="s">
        <v>682</v>
      </c>
      <c r="D73" s="62" t="s">
        <v>636</v>
      </c>
    </row>
    <row r="74" spans="1:4" ht="39.6" x14ac:dyDescent="0.3">
      <c r="A74" s="60">
        <v>22</v>
      </c>
      <c r="B74" s="61" t="s">
        <v>683</v>
      </c>
      <c r="C74" s="60" t="s">
        <v>684</v>
      </c>
      <c r="D74" s="62" t="s">
        <v>685</v>
      </c>
    </row>
    <row r="76" spans="1:4" x14ac:dyDescent="0.3">
      <c r="A76" s="58" t="s">
        <v>686</v>
      </c>
      <c r="B76" s="59"/>
      <c r="C76" s="63" t="s">
        <v>687</v>
      </c>
      <c r="D76" s="59"/>
    </row>
    <row r="77" spans="1:4" x14ac:dyDescent="0.3">
      <c r="A77" s="60">
        <v>1</v>
      </c>
      <c r="B77" s="61" t="s">
        <v>688</v>
      </c>
      <c r="C77" s="60" t="s">
        <v>689</v>
      </c>
      <c r="D77" s="62"/>
    </row>
    <row r="78" spans="1:4" ht="26.4" x14ac:dyDescent="0.3">
      <c r="A78" s="60">
        <v>2</v>
      </c>
      <c r="B78" s="61" t="s">
        <v>690</v>
      </c>
      <c r="C78" s="60" t="s">
        <v>691</v>
      </c>
      <c r="D78" s="62"/>
    </row>
    <row r="79" spans="1:4" x14ac:dyDescent="0.3">
      <c r="A79" s="60">
        <v>3</v>
      </c>
      <c r="B79" s="61" t="s">
        <v>692</v>
      </c>
      <c r="C79" s="60" t="s">
        <v>693</v>
      </c>
      <c r="D79" s="62" t="s">
        <v>694</v>
      </c>
    </row>
    <row r="80" spans="1:4" x14ac:dyDescent="0.3">
      <c r="A80" s="60">
        <v>4</v>
      </c>
      <c r="B80" s="61" t="s">
        <v>647</v>
      </c>
      <c r="C80" s="60" t="s">
        <v>648</v>
      </c>
      <c r="D80" s="62"/>
    </row>
    <row r="81" spans="1:4" ht="26.4" x14ac:dyDescent="0.3">
      <c r="A81" s="60">
        <v>5</v>
      </c>
      <c r="B81" s="61" t="s">
        <v>695</v>
      </c>
      <c r="C81" s="60" t="s">
        <v>696</v>
      </c>
      <c r="D81" s="62" t="s">
        <v>697</v>
      </c>
    </row>
    <row r="82" spans="1:4" x14ac:dyDescent="0.3">
      <c r="A82" s="60">
        <v>6</v>
      </c>
      <c r="B82" s="61" t="s">
        <v>698</v>
      </c>
      <c r="C82" s="60" t="s">
        <v>699</v>
      </c>
      <c r="D82" s="62"/>
    </row>
    <row r="83" spans="1:4" ht="26.4" x14ac:dyDescent="0.3">
      <c r="A83" s="60">
        <v>7</v>
      </c>
      <c r="B83" s="61" t="s">
        <v>700</v>
      </c>
      <c r="C83" s="60" t="s">
        <v>701</v>
      </c>
      <c r="D83" s="62" t="s">
        <v>702</v>
      </c>
    </row>
    <row r="84" spans="1:4" x14ac:dyDescent="0.3">
      <c r="A84" s="60">
        <v>8</v>
      </c>
      <c r="B84" s="61" t="s">
        <v>698</v>
      </c>
      <c r="C84" s="60" t="s">
        <v>703</v>
      </c>
      <c r="D84" s="62"/>
    </row>
    <row r="85" spans="1:4" ht="39.6" x14ac:dyDescent="0.3">
      <c r="A85" s="60">
        <v>9</v>
      </c>
      <c r="B85" s="61" t="s">
        <v>704</v>
      </c>
      <c r="C85" s="60" t="s">
        <v>705</v>
      </c>
      <c r="D85" s="62" t="s">
        <v>706</v>
      </c>
    </row>
    <row r="86" spans="1:4" ht="26.4" x14ac:dyDescent="0.3">
      <c r="A86" s="60">
        <v>10</v>
      </c>
      <c r="B86" s="61" t="s">
        <v>707</v>
      </c>
      <c r="C86" s="60" t="s">
        <v>708</v>
      </c>
      <c r="D86" s="62"/>
    </row>
    <row r="87" spans="1:4" ht="26.4" x14ac:dyDescent="0.3">
      <c r="A87" s="60">
        <v>11</v>
      </c>
      <c r="B87" s="61" t="s">
        <v>709</v>
      </c>
      <c r="C87" s="60" t="s">
        <v>710</v>
      </c>
      <c r="D87" s="62" t="s">
        <v>711</v>
      </c>
    </row>
    <row r="88" spans="1:4" x14ac:dyDescent="0.3">
      <c r="A88" s="60">
        <v>12</v>
      </c>
      <c r="B88" s="61" t="s">
        <v>712</v>
      </c>
      <c r="C88" s="60" t="s">
        <v>713</v>
      </c>
      <c r="D88" s="62" t="s">
        <v>714</v>
      </c>
    </row>
    <row r="89" spans="1:4" x14ac:dyDescent="0.3">
      <c r="A89" s="60">
        <v>13</v>
      </c>
      <c r="B89" s="61" t="s">
        <v>715</v>
      </c>
      <c r="C89" s="60" t="s">
        <v>716</v>
      </c>
      <c r="D89" s="62" t="s">
        <v>717</v>
      </c>
    </row>
    <row r="90" spans="1:4" x14ac:dyDescent="0.3">
      <c r="A90" s="60">
        <v>14</v>
      </c>
      <c r="B90" s="61" t="s">
        <v>718</v>
      </c>
      <c r="C90" s="60" t="s">
        <v>719</v>
      </c>
      <c r="D90" s="62" t="s">
        <v>720</v>
      </c>
    </row>
    <row r="91" spans="1:4" x14ac:dyDescent="0.3">
      <c r="A91" s="60">
        <v>15</v>
      </c>
      <c r="B91" s="61" t="s">
        <v>721</v>
      </c>
      <c r="C91" s="60" t="s">
        <v>722</v>
      </c>
      <c r="D91" s="62" t="s">
        <v>723</v>
      </c>
    </row>
    <row r="92" spans="1:4" x14ac:dyDescent="0.3">
      <c r="A92" s="60">
        <v>16</v>
      </c>
      <c r="B92" s="61" t="s">
        <v>724</v>
      </c>
      <c r="C92" s="60" t="s">
        <v>725</v>
      </c>
      <c r="D92" s="62" t="s">
        <v>726</v>
      </c>
    </row>
    <row r="93" spans="1:4" x14ac:dyDescent="0.3">
      <c r="A93" s="60">
        <v>17</v>
      </c>
      <c r="B93" s="61" t="s">
        <v>727</v>
      </c>
      <c r="C93" s="60" t="s">
        <v>728</v>
      </c>
      <c r="D93" s="62"/>
    </row>
    <row r="94" spans="1:4" x14ac:dyDescent="0.3">
      <c r="A94" s="60">
        <v>18</v>
      </c>
      <c r="B94" s="61" t="s">
        <v>729</v>
      </c>
      <c r="C94" s="60" t="s">
        <v>730</v>
      </c>
      <c r="D94" s="62" t="s">
        <v>309</v>
      </c>
    </row>
    <row r="95" spans="1:4" ht="52.8" x14ac:dyDescent="0.3">
      <c r="A95" s="60">
        <v>19</v>
      </c>
      <c r="B95" s="61" t="s">
        <v>731</v>
      </c>
      <c r="C95" s="60" t="s">
        <v>732</v>
      </c>
      <c r="D95" s="62"/>
    </row>
    <row r="96" spans="1:4" ht="26.4" x14ac:dyDescent="0.3">
      <c r="A96" s="60">
        <v>20</v>
      </c>
      <c r="B96" s="61" t="s">
        <v>733</v>
      </c>
      <c r="C96" s="60" t="s">
        <v>734</v>
      </c>
      <c r="D96" s="62" t="s">
        <v>192</v>
      </c>
    </row>
    <row r="97" spans="1:4" x14ac:dyDescent="0.3">
      <c r="A97" s="60">
        <v>21</v>
      </c>
      <c r="B97" s="61" t="s">
        <v>571</v>
      </c>
      <c r="C97" s="60" t="s">
        <v>735</v>
      </c>
      <c r="D97" s="62" t="s">
        <v>736</v>
      </c>
    </row>
    <row r="98" spans="1:4" x14ac:dyDescent="0.3">
      <c r="A98" s="60">
        <v>22</v>
      </c>
      <c r="B98" s="61" t="s">
        <v>737</v>
      </c>
      <c r="C98" s="60" t="s">
        <v>738</v>
      </c>
      <c r="D98" s="62" t="s">
        <v>739</v>
      </c>
    </row>
    <row r="99" spans="1:4" x14ac:dyDescent="0.3">
      <c r="A99" s="60">
        <v>23</v>
      </c>
      <c r="B99" s="61" t="s">
        <v>740</v>
      </c>
      <c r="C99" s="60" t="s">
        <v>741</v>
      </c>
      <c r="D99" s="62" t="s">
        <v>742</v>
      </c>
    </row>
    <row r="100" spans="1:4" ht="26.4" x14ac:dyDescent="0.3">
      <c r="A100" s="60">
        <v>24</v>
      </c>
      <c r="B100" s="61" t="s">
        <v>743</v>
      </c>
      <c r="C100" s="60" t="s">
        <v>744</v>
      </c>
      <c r="D100" s="62" t="s">
        <v>745</v>
      </c>
    </row>
    <row r="101" spans="1:4" ht="26.4" x14ac:dyDescent="0.3">
      <c r="A101" s="60">
        <v>25</v>
      </c>
      <c r="B101" s="61" t="s">
        <v>698</v>
      </c>
      <c r="C101" s="60" t="s">
        <v>746</v>
      </c>
      <c r="D101" s="62"/>
    </row>
    <row r="102" spans="1:4" ht="66" x14ac:dyDescent="0.3">
      <c r="A102" s="60">
        <v>26</v>
      </c>
      <c r="B102" s="61" t="s">
        <v>747</v>
      </c>
      <c r="C102" s="60" t="s">
        <v>748</v>
      </c>
      <c r="D102" s="62" t="s">
        <v>749</v>
      </c>
    </row>
    <row r="103" spans="1:4" ht="52.8" x14ac:dyDescent="0.3">
      <c r="A103" s="60">
        <v>27</v>
      </c>
      <c r="B103" s="61" t="s">
        <v>750</v>
      </c>
      <c r="C103" s="60" t="s">
        <v>751</v>
      </c>
      <c r="D103" s="62" t="s">
        <v>752</v>
      </c>
    </row>
    <row r="104" spans="1:4" x14ac:dyDescent="0.3">
      <c r="A104" s="60">
        <v>28</v>
      </c>
      <c r="B104" s="61" t="s">
        <v>616</v>
      </c>
      <c r="C104" s="60" t="s">
        <v>753</v>
      </c>
      <c r="D104" s="62" t="s">
        <v>754</v>
      </c>
    </row>
    <row r="105" spans="1:4" x14ac:dyDescent="0.3">
      <c r="A105" s="60">
        <v>29</v>
      </c>
      <c r="B105" s="61" t="s">
        <v>574</v>
      </c>
      <c r="C105" s="60" t="s">
        <v>755</v>
      </c>
      <c r="D105" s="62" t="s">
        <v>673</v>
      </c>
    </row>
    <row r="106" spans="1:4" ht="39.6" x14ac:dyDescent="0.3">
      <c r="A106" s="60">
        <v>30</v>
      </c>
      <c r="B106" s="61" t="s">
        <v>632</v>
      </c>
      <c r="C106" s="60" t="s">
        <v>756</v>
      </c>
      <c r="D106" s="62"/>
    </row>
    <row r="107" spans="1:4" ht="52.8" x14ac:dyDescent="0.3">
      <c r="A107" s="60">
        <v>31</v>
      </c>
      <c r="B107" s="61" t="s">
        <v>757</v>
      </c>
      <c r="C107" s="60" t="s">
        <v>758</v>
      </c>
      <c r="D107" s="62" t="s">
        <v>759</v>
      </c>
    </row>
    <row r="108" spans="1:4" ht="26.4" x14ac:dyDescent="0.3">
      <c r="A108" s="60">
        <v>32</v>
      </c>
      <c r="B108" s="61" t="s">
        <v>571</v>
      </c>
      <c r="C108" s="60" t="s">
        <v>760</v>
      </c>
      <c r="D108" s="62" t="s">
        <v>761</v>
      </c>
    </row>
    <row r="109" spans="1:4" x14ac:dyDescent="0.3">
      <c r="A109" s="60">
        <v>33</v>
      </c>
      <c r="B109" s="61" t="s">
        <v>737</v>
      </c>
      <c r="C109" s="60" t="s">
        <v>762</v>
      </c>
      <c r="D109" s="62" t="s">
        <v>739</v>
      </c>
    </row>
    <row r="110" spans="1:4" x14ac:dyDescent="0.3">
      <c r="A110" s="60">
        <v>34</v>
      </c>
      <c r="B110" s="61" t="s">
        <v>740</v>
      </c>
      <c r="C110" s="60" t="s">
        <v>763</v>
      </c>
      <c r="D110" s="62" t="s">
        <v>742</v>
      </c>
    </row>
    <row r="112" spans="1:4" x14ac:dyDescent="0.3">
      <c r="A112" s="58" t="s">
        <v>218</v>
      </c>
      <c r="B112" s="59"/>
      <c r="C112" s="63" t="s">
        <v>764</v>
      </c>
      <c r="D112" s="59"/>
    </row>
    <row r="113" spans="1:4" x14ac:dyDescent="0.3">
      <c r="A113" s="60">
        <v>1</v>
      </c>
      <c r="B113" s="61" t="s">
        <v>642</v>
      </c>
      <c r="C113" s="60" t="s">
        <v>643</v>
      </c>
      <c r="D113" s="62"/>
    </row>
    <row r="114" spans="1:4" ht="145.19999999999999" x14ac:dyDescent="0.3">
      <c r="A114" s="60">
        <v>2</v>
      </c>
      <c r="B114" s="61" t="s">
        <v>644</v>
      </c>
      <c r="C114" s="60" t="s">
        <v>765</v>
      </c>
      <c r="D114" s="62" t="s">
        <v>766</v>
      </c>
    </row>
    <row r="115" spans="1:4" x14ac:dyDescent="0.3">
      <c r="A115" s="60">
        <v>3</v>
      </c>
      <c r="B115" s="61" t="s">
        <v>647</v>
      </c>
      <c r="C115" s="60" t="s">
        <v>767</v>
      </c>
      <c r="D115" s="62"/>
    </row>
    <row r="116" spans="1:4" x14ac:dyDescent="0.3">
      <c r="A116" s="60">
        <v>4</v>
      </c>
      <c r="B116" s="61" t="s">
        <v>568</v>
      </c>
      <c r="C116" s="60" t="s">
        <v>768</v>
      </c>
      <c r="D116" s="62" t="s">
        <v>769</v>
      </c>
    </row>
    <row r="117" spans="1:4" ht="26.4" x14ac:dyDescent="0.3">
      <c r="A117" s="60">
        <v>5</v>
      </c>
      <c r="B117" s="61" t="s">
        <v>770</v>
      </c>
      <c r="C117" s="60" t="s">
        <v>771</v>
      </c>
      <c r="D117" s="62" t="s">
        <v>772</v>
      </c>
    </row>
    <row r="118" spans="1:4" x14ac:dyDescent="0.3">
      <c r="A118" s="60">
        <v>6</v>
      </c>
      <c r="B118" s="61" t="s">
        <v>574</v>
      </c>
      <c r="C118" s="60"/>
      <c r="D118" s="62" t="s">
        <v>773</v>
      </c>
    </row>
    <row r="119" spans="1:4" x14ac:dyDescent="0.3">
      <c r="A119" s="60">
        <v>7</v>
      </c>
      <c r="B119" s="61" t="s">
        <v>568</v>
      </c>
      <c r="C119" s="60" t="s">
        <v>774</v>
      </c>
      <c r="D119" s="62" t="s">
        <v>664</v>
      </c>
    </row>
    <row r="120" spans="1:4" x14ac:dyDescent="0.3">
      <c r="A120" s="60">
        <v>8</v>
      </c>
      <c r="B120" s="61" t="s">
        <v>571</v>
      </c>
      <c r="C120" s="60" t="s">
        <v>617</v>
      </c>
      <c r="D120" s="62" t="s">
        <v>775</v>
      </c>
    </row>
    <row r="121" spans="1:4" ht="79.2" x14ac:dyDescent="0.3">
      <c r="A121" s="60">
        <v>9</v>
      </c>
      <c r="B121" s="61" t="s">
        <v>568</v>
      </c>
      <c r="C121" s="60" t="s">
        <v>776</v>
      </c>
      <c r="D121" s="62" t="s">
        <v>777</v>
      </c>
    </row>
    <row r="122" spans="1:4" x14ac:dyDescent="0.3">
      <c r="A122" s="60">
        <v>10</v>
      </c>
      <c r="B122" s="61" t="s">
        <v>616</v>
      </c>
      <c r="C122" s="60" t="s">
        <v>617</v>
      </c>
      <c r="D122" s="62"/>
    </row>
    <row r="123" spans="1:4" x14ac:dyDescent="0.3">
      <c r="A123" s="60">
        <v>11</v>
      </c>
      <c r="B123" s="61" t="s">
        <v>574</v>
      </c>
      <c r="C123" s="60" t="s">
        <v>778</v>
      </c>
      <c r="D123" s="62" t="s">
        <v>779</v>
      </c>
    </row>
    <row r="124" spans="1:4" ht="26.4" x14ac:dyDescent="0.3">
      <c r="A124" s="60">
        <v>12</v>
      </c>
      <c r="B124" s="61" t="s">
        <v>780</v>
      </c>
      <c r="C124" s="60" t="s">
        <v>781</v>
      </c>
      <c r="D124" s="62" t="s">
        <v>782</v>
      </c>
    </row>
    <row r="125" spans="1:4" ht="66" x14ac:dyDescent="0.3">
      <c r="A125" s="60">
        <v>13</v>
      </c>
      <c r="B125" s="61" t="s">
        <v>783</v>
      </c>
      <c r="C125" s="60" t="s">
        <v>784</v>
      </c>
      <c r="D125" s="62" t="s">
        <v>785</v>
      </c>
    </row>
    <row r="126" spans="1:4" ht="52.8" x14ac:dyDescent="0.3">
      <c r="A126" s="60">
        <v>14</v>
      </c>
      <c r="B126" s="61" t="s">
        <v>616</v>
      </c>
      <c r="C126" s="60" t="s">
        <v>786</v>
      </c>
      <c r="D126" s="62" t="s">
        <v>787</v>
      </c>
    </row>
    <row r="127" spans="1:4" ht="39.6" x14ac:dyDescent="0.3">
      <c r="A127" s="60">
        <v>15</v>
      </c>
      <c r="B127" s="61" t="s">
        <v>632</v>
      </c>
      <c r="C127" s="60" t="s">
        <v>788</v>
      </c>
      <c r="D127" s="62"/>
    </row>
    <row r="129" spans="1:4" x14ac:dyDescent="0.3">
      <c r="A129" s="58" t="s">
        <v>789</v>
      </c>
      <c r="B129" s="59"/>
      <c r="C129" s="63" t="s">
        <v>790</v>
      </c>
      <c r="D129" s="59"/>
    </row>
    <row r="130" spans="1:4" ht="39.6" x14ac:dyDescent="0.3">
      <c r="A130" s="60">
        <v>1</v>
      </c>
      <c r="B130" s="61" t="s">
        <v>791</v>
      </c>
      <c r="C130" s="60" t="s">
        <v>792</v>
      </c>
      <c r="D130" s="62" t="s">
        <v>793</v>
      </c>
    </row>
    <row r="131" spans="1:4" ht="66" x14ac:dyDescent="0.3">
      <c r="A131" s="60">
        <v>2</v>
      </c>
      <c r="B131" s="61" t="s">
        <v>794</v>
      </c>
      <c r="C131" s="60" t="s">
        <v>795</v>
      </c>
      <c r="D131" s="62"/>
    </row>
    <row r="132" spans="1:4" ht="39.6" x14ac:dyDescent="0.3">
      <c r="A132" s="60">
        <v>3</v>
      </c>
      <c r="B132" s="61" t="s">
        <v>796</v>
      </c>
      <c r="C132" s="60" t="s">
        <v>797</v>
      </c>
      <c r="D132" s="62"/>
    </row>
    <row r="133" spans="1:4" ht="39.6" x14ac:dyDescent="0.3">
      <c r="A133" s="60">
        <v>4</v>
      </c>
      <c r="B133" s="61" t="s">
        <v>798</v>
      </c>
      <c r="C133" s="60" t="s">
        <v>799</v>
      </c>
      <c r="D133" s="62" t="s">
        <v>800</v>
      </c>
    </row>
    <row r="134" spans="1:4" ht="39.6" x14ac:dyDescent="0.3">
      <c r="A134" s="60">
        <v>5</v>
      </c>
      <c r="B134" s="61" t="s">
        <v>801</v>
      </c>
      <c r="C134" s="60" t="s">
        <v>802</v>
      </c>
      <c r="D134" s="62" t="s">
        <v>803</v>
      </c>
    </row>
    <row r="135" spans="1:4" ht="39.6" x14ac:dyDescent="0.3">
      <c r="A135" s="60">
        <v>6</v>
      </c>
      <c r="B135" s="61" t="s">
        <v>804</v>
      </c>
      <c r="C135" s="60" t="s">
        <v>805</v>
      </c>
      <c r="D135" s="62" t="s">
        <v>806</v>
      </c>
    </row>
    <row r="136" spans="1:4" ht="39.6" x14ac:dyDescent="0.3">
      <c r="A136" s="60">
        <v>7</v>
      </c>
      <c r="B136" s="61" t="s">
        <v>807</v>
      </c>
      <c r="C136" s="60" t="s">
        <v>808</v>
      </c>
      <c r="D136" s="62"/>
    </row>
    <row r="137" spans="1:4" ht="26.4" x14ac:dyDescent="0.3">
      <c r="A137" s="60">
        <v>8</v>
      </c>
      <c r="B137" s="61" t="s">
        <v>809</v>
      </c>
      <c r="C137" s="60" t="s">
        <v>810</v>
      </c>
      <c r="D137" s="62" t="s">
        <v>811</v>
      </c>
    </row>
    <row r="138" spans="1:4" ht="39.6" x14ac:dyDescent="0.3">
      <c r="A138" s="60">
        <v>9</v>
      </c>
      <c r="B138" s="61" t="s">
        <v>812</v>
      </c>
      <c r="C138" s="60" t="s">
        <v>813</v>
      </c>
      <c r="D138" s="62"/>
    </row>
    <row r="139" spans="1:4" ht="66" x14ac:dyDescent="0.3">
      <c r="A139" s="60">
        <v>10</v>
      </c>
      <c r="B139" s="61" t="s">
        <v>632</v>
      </c>
      <c r="C139" s="60" t="s">
        <v>814</v>
      </c>
      <c r="D139" s="62"/>
    </row>
    <row r="141" spans="1:4" x14ac:dyDescent="0.3">
      <c r="A141" s="58" t="s">
        <v>815</v>
      </c>
      <c r="B141" s="59"/>
      <c r="C141" s="63" t="s">
        <v>816</v>
      </c>
      <c r="D141" s="59"/>
    </row>
    <row r="142" spans="1:4" x14ac:dyDescent="0.3">
      <c r="A142" s="60">
        <v>1</v>
      </c>
      <c r="B142" s="61" t="s">
        <v>817</v>
      </c>
      <c r="C142" s="60" t="s">
        <v>818</v>
      </c>
      <c r="D142" s="62" t="s">
        <v>284</v>
      </c>
    </row>
    <row r="143" spans="1:4" x14ac:dyDescent="0.3">
      <c r="A143" s="60">
        <v>2</v>
      </c>
      <c r="B143" s="61" t="s">
        <v>571</v>
      </c>
      <c r="C143" s="60" t="s">
        <v>819</v>
      </c>
      <c r="D143" s="62" t="s">
        <v>820</v>
      </c>
    </row>
    <row r="144" spans="1:4" x14ac:dyDescent="0.3">
      <c r="A144" s="60">
        <v>3</v>
      </c>
      <c r="B144" s="61" t="s">
        <v>809</v>
      </c>
      <c r="C144" s="60" t="s">
        <v>821</v>
      </c>
      <c r="D144" s="62" t="s">
        <v>822</v>
      </c>
    </row>
    <row r="145" spans="1:4" x14ac:dyDescent="0.3">
      <c r="A145" s="60">
        <v>4</v>
      </c>
      <c r="B145" s="61" t="s">
        <v>823</v>
      </c>
      <c r="C145" s="60" t="s">
        <v>824</v>
      </c>
      <c r="D145" s="62" t="s">
        <v>825</v>
      </c>
    </row>
    <row r="146" spans="1:4" x14ac:dyDescent="0.3">
      <c r="A146" s="60">
        <v>5</v>
      </c>
      <c r="B146" s="61" t="s">
        <v>571</v>
      </c>
      <c r="C146" s="60" t="s">
        <v>826</v>
      </c>
      <c r="D146" s="62" t="s">
        <v>827</v>
      </c>
    </row>
    <row r="147" spans="1:4" x14ac:dyDescent="0.3">
      <c r="A147" s="60">
        <v>6</v>
      </c>
      <c r="B147" s="61" t="s">
        <v>574</v>
      </c>
      <c r="C147" s="60"/>
      <c r="D147" s="62" t="s">
        <v>779</v>
      </c>
    </row>
    <row r="148" spans="1:4" x14ac:dyDescent="0.3">
      <c r="A148" s="60">
        <v>7</v>
      </c>
      <c r="B148" s="61" t="s">
        <v>828</v>
      </c>
      <c r="C148" s="60" t="s">
        <v>829</v>
      </c>
      <c r="D148" s="62" t="s">
        <v>830</v>
      </c>
    </row>
    <row r="150" spans="1:4" x14ac:dyDescent="0.3">
      <c r="A150" s="58" t="s">
        <v>831</v>
      </c>
      <c r="B150" s="59"/>
      <c r="C150" s="63" t="s">
        <v>832</v>
      </c>
      <c r="D150" s="59"/>
    </row>
    <row r="151" spans="1:4" x14ac:dyDescent="0.3">
      <c r="A151" s="60" t="s">
        <v>833</v>
      </c>
      <c r="B151" s="61" t="s">
        <v>834</v>
      </c>
      <c r="C151" s="60" t="s">
        <v>835</v>
      </c>
      <c r="D151" s="62"/>
    </row>
    <row r="152" spans="1:4" ht="39.6" x14ac:dyDescent="0.3">
      <c r="A152" s="60">
        <v>1</v>
      </c>
      <c r="B152" s="61" t="s">
        <v>836</v>
      </c>
      <c r="C152" s="60" t="s">
        <v>837</v>
      </c>
      <c r="D152" s="62" t="s">
        <v>838</v>
      </c>
    </row>
    <row r="153" spans="1:4" ht="39.6" x14ac:dyDescent="0.3">
      <c r="A153" s="60">
        <v>2</v>
      </c>
      <c r="B153" s="61" t="s">
        <v>647</v>
      </c>
      <c r="C153" s="60" t="s">
        <v>839</v>
      </c>
      <c r="D153" s="62" t="s">
        <v>840</v>
      </c>
    </row>
    <row r="154" spans="1:4" ht="26.4" x14ac:dyDescent="0.3">
      <c r="A154" s="60">
        <v>3</v>
      </c>
      <c r="B154" s="61" t="s">
        <v>632</v>
      </c>
      <c r="C154" s="60" t="s">
        <v>841</v>
      </c>
      <c r="D154" s="62"/>
    </row>
    <row r="155" spans="1:4" x14ac:dyDescent="0.3">
      <c r="A155" s="60" t="s">
        <v>842</v>
      </c>
      <c r="B155" s="61" t="s">
        <v>843</v>
      </c>
      <c r="C155" s="60" t="s">
        <v>844</v>
      </c>
      <c r="D155" s="62"/>
    </row>
    <row r="156" spans="1:4" ht="39.6" x14ac:dyDescent="0.3">
      <c r="A156" s="60">
        <v>4</v>
      </c>
      <c r="B156" s="61" t="s">
        <v>729</v>
      </c>
      <c r="C156" s="60" t="s">
        <v>845</v>
      </c>
      <c r="D156" s="62" t="s">
        <v>846</v>
      </c>
    </row>
    <row r="157" spans="1:4" ht="39.6" x14ac:dyDescent="0.3">
      <c r="A157" s="60">
        <v>5</v>
      </c>
      <c r="B157" s="61" t="s">
        <v>731</v>
      </c>
      <c r="C157" s="60" t="s">
        <v>847</v>
      </c>
      <c r="D157" s="62"/>
    </row>
    <row r="158" spans="1:4" ht="66" x14ac:dyDescent="0.3">
      <c r="A158" s="60">
        <v>6</v>
      </c>
      <c r="B158" s="61" t="s">
        <v>848</v>
      </c>
      <c r="C158" s="60" t="s">
        <v>849</v>
      </c>
      <c r="D158" s="62" t="s">
        <v>850</v>
      </c>
    </row>
    <row r="159" spans="1:4" ht="39.6" x14ac:dyDescent="0.3">
      <c r="A159" s="60">
        <v>7</v>
      </c>
      <c r="B159" s="61" t="s">
        <v>571</v>
      </c>
      <c r="C159" s="60" t="s">
        <v>851</v>
      </c>
      <c r="D159" s="62" t="s">
        <v>852</v>
      </c>
    </row>
    <row r="160" spans="1:4" ht="26.4" x14ac:dyDescent="0.3">
      <c r="A160" s="60">
        <v>8</v>
      </c>
      <c r="B160" s="61" t="s">
        <v>853</v>
      </c>
      <c r="C160" s="60" t="s">
        <v>854</v>
      </c>
      <c r="D160" s="62"/>
    </row>
    <row r="161" spans="1:4" ht="66" x14ac:dyDescent="0.3">
      <c r="A161" s="60">
        <v>9</v>
      </c>
      <c r="B161" s="61" t="s">
        <v>632</v>
      </c>
      <c r="C161" s="60" t="s">
        <v>855</v>
      </c>
      <c r="D161" s="62"/>
    </row>
    <row r="162" spans="1:4" ht="26.4" x14ac:dyDescent="0.3">
      <c r="A162" s="60">
        <v>10</v>
      </c>
      <c r="B162" s="61" t="s">
        <v>856</v>
      </c>
      <c r="C162" s="60" t="s">
        <v>857</v>
      </c>
      <c r="D162" s="62"/>
    </row>
    <row r="163" spans="1:4" x14ac:dyDescent="0.3">
      <c r="A163" s="60" t="s">
        <v>858</v>
      </c>
      <c r="B163" s="61" t="s">
        <v>859</v>
      </c>
      <c r="C163" s="60" t="s">
        <v>860</v>
      </c>
      <c r="D163" s="62"/>
    </row>
    <row r="164" spans="1:4" x14ac:dyDescent="0.3">
      <c r="A164" s="60">
        <v>11</v>
      </c>
      <c r="B164" s="61" t="s">
        <v>861</v>
      </c>
      <c r="C164" s="60" t="s">
        <v>862</v>
      </c>
      <c r="D164" s="62"/>
    </row>
    <row r="165" spans="1:4" ht="26.4" x14ac:dyDescent="0.3">
      <c r="A165" s="60">
        <v>12</v>
      </c>
      <c r="B165" s="61" t="s">
        <v>863</v>
      </c>
      <c r="C165" s="60" t="s">
        <v>864</v>
      </c>
      <c r="D165" s="62" t="s">
        <v>865</v>
      </c>
    </row>
    <row r="166" spans="1:4" ht="52.8" x14ac:dyDescent="0.3">
      <c r="A166" s="60">
        <v>13</v>
      </c>
      <c r="B166" s="61" t="s">
        <v>866</v>
      </c>
      <c r="C166" s="60" t="s">
        <v>867</v>
      </c>
      <c r="D166" s="62"/>
    </row>
    <row r="167" spans="1:4" ht="26.4" x14ac:dyDescent="0.3">
      <c r="A167" s="60">
        <v>14</v>
      </c>
      <c r="B167" s="61" t="s">
        <v>632</v>
      </c>
      <c r="C167" s="60" t="s">
        <v>868</v>
      </c>
      <c r="D167" s="62"/>
    </row>
    <row r="169" spans="1:4" x14ac:dyDescent="0.3">
      <c r="A169" s="58" t="s">
        <v>869</v>
      </c>
      <c r="B169" s="59"/>
      <c r="C169" s="63" t="s">
        <v>870</v>
      </c>
      <c r="D169" s="59"/>
    </row>
    <row r="170" spans="1:4" x14ac:dyDescent="0.3">
      <c r="A170" s="60" t="s">
        <v>833</v>
      </c>
      <c r="B170" s="61" t="s">
        <v>834</v>
      </c>
      <c r="C170" s="60" t="s">
        <v>871</v>
      </c>
      <c r="D170" s="62"/>
    </row>
    <row r="171" spans="1:4" x14ac:dyDescent="0.3">
      <c r="A171" s="60">
        <v>1</v>
      </c>
      <c r="B171" s="61" t="s">
        <v>872</v>
      </c>
      <c r="C171" s="60" t="s">
        <v>873</v>
      </c>
      <c r="D171" s="62" t="s">
        <v>874</v>
      </c>
    </row>
    <row r="172" spans="1:4" x14ac:dyDescent="0.3">
      <c r="A172" s="60">
        <v>2</v>
      </c>
      <c r="B172" s="61" t="s">
        <v>875</v>
      </c>
      <c r="C172" s="60" t="s">
        <v>876</v>
      </c>
      <c r="D172" s="62" t="s">
        <v>877</v>
      </c>
    </row>
    <row r="173" spans="1:4" x14ac:dyDescent="0.3">
      <c r="A173" s="60">
        <v>3</v>
      </c>
      <c r="B173" s="61" t="s">
        <v>878</v>
      </c>
      <c r="C173" s="60" t="s">
        <v>879</v>
      </c>
      <c r="D173" s="62" t="s">
        <v>880</v>
      </c>
    </row>
    <row r="174" spans="1:4" ht="26.4" x14ac:dyDescent="0.3">
      <c r="A174" s="60">
        <v>4</v>
      </c>
      <c r="B174" s="61" t="s">
        <v>881</v>
      </c>
      <c r="C174" s="60" t="s">
        <v>882</v>
      </c>
      <c r="D174" s="62" t="s">
        <v>883</v>
      </c>
    </row>
    <row r="175" spans="1:4" x14ac:dyDescent="0.3">
      <c r="A175" s="60">
        <v>5</v>
      </c>
      <c r="B175" s="61" t="s">
        <v>884</v>
      </c>
      <c r="C175" s="60" t="s">
        <v>885</v>
      </c>
      <c r="D175" s="62" t="s">
        <v>886</v>
      </c>
    </row>
    <row r="176" spans="1:4" x14ac:dyDescent="0.3">
      <c r="A176" s="60">
        <v>6</v>
      </c>
      <c r="B176" s="61" t="s">
        <v>887</v>
      </c>
      <c r="C176" s="60" t="s">
        <v>888</v>
      </c>
      <c r="D176" s="62" t="s">
        <v>889</v>
      </c>
    </row>
    <row r="177" spans="1:4" ht="26.4" x14ac:dyDescent="0.3">
      <c r="A177" s="60">
        <v>7</v>
      </c>
      <c r="B177" s="61" t="s">
        <v>632</v>
      </c>
      <c r="C177" s="60" t="s">
        <v>890</v>
      </c>
      <c r="D177" s="62"/>
    </row>
    <row r="178" spans="1:4" ht="26.4" x14ac:dyDescent="0.3">
      <c r="A178" s="60" t="s">
        <v>842</v>
      </c>
      <c r="B178" s="61" t="s">
        <v>891</v>
      </c>
      <c r="C178" s="60" t="s">
        <v>892</v>
      </c>
      <c r="D178" s="62"/>
    </row>
    <row r="179" spans="1:4" ht="66" x14ac:dyDescent="0.3">
      <c r="A179" s="60">
        <v>8</v>
      </c>
      <c r="B179" s="61" t="s">
        <v>893</v>
      </c>
      <c r="C179" s="60" t="s">
        <v>894</v>
      </c>
      <c r="D179" s="62"/>
    </row>
    <row r="180" spans="1:4" x14ac:dyDescent="0.3">
      <c r="A180" s="60">
        <v>9</v>
      </c>
      <c r="B180" s="61" t="s">
        <v>895</v>
      </c>
      <c r="C180" s="60" t="s">
        <v>896</v>
      </c>
      <c r="D180" s="62" t="s">
        <v>897</v>
      </c>
    </row>
    <row r="181" spans="1:4" ht="66" x14ac:dyDescent="0.3">
      <c r="A181" s="60">
        <v>10</v>
      </c>
      <c r="B181" s="61" t="s">
        <v>898</v>
      </c>
      <c r="C181" s="60" t="s">
        <v>899</v>
      </c>
      <c r="D181" s="62" t="s">
        <v>900</v>
      </c>
    </row>
    <row r="182" spans="1:4" ht="26.4" x14ac:dyDescent="0.3">
      <c r="A182" s="60">
        <v>11</v>
      </c>
      <c r="B182" s="61" t="s">
        <v>901</v>
      </c>
      <c r="C182" s="60" t="s">
        <v>902</v>
      </c>
      <c r="D182" s="62" t="s">
        <v>903</v>
      </c>
    </row>
    <row r="183" spans="1:4" ht="39.6" x14ac:dyDescent="0.3">
      <c r="A183" s="60">
        <v>12</v>
      </c>
      <c r="B183" s="61" t="s">
        <v>904</v>
      </c>
      <c r="C183" s="60" t="s">
        <v>905</v>
      </c>
      <c r="D183" s="62" t="s">
        <v>452</v>
      </c>
    </row>
    <row r="184" spans="1:4" ht="26.4" x14ac:dyDescent="0.3">
      <c r="A184" s="60">
        <v>13</v>
      </c>
      <c r="B184" s="61" t="s">
        <v>906</v>
      </c>
      <c r="C184" s="60" t="s">
        <v>907</v>
      </c>
      <c r="D184" s="62" t="s">
        <v>908</v>
      </c>
    </row>
    <row r="185" spans="1:4" ht="52.8" x14ac:dyDescent="0.3">
      <c r="A185" s="60">
        <v>14</v>
      </c>
      <c r="B185" s="61" t="s">
        <v>909</v>
      </c>
      <c r="C185" s="60" t="s">
        <v>910</v>
      </c>
      <c r="D185" s="62"/>
    </row>
    <row r="186" spans="1:4" ht="39.6" x14ac:dyDescent="0.3">
      <c r="A186" s="60">
        <v>15</v>
      </c>
      <c r="B186" s="61" t="s">
        <v>632</v>
      </c>
      <c r="C186" s="60" t="s">
        <v>911</v>
      </c>
      <c r="D186" s="62"/>
    </row>
    <row r="187" spans="1:4" x14ac:dyDescent="0.3">
      <c r="A187" s="60" t="s">
        <v>858</v>
      </c>
      <c r="B187" s="61" t="s">
        <v>912</v>
      </c>
      <c r="C187" s="60" t="s">
        <v>913</v>
      </c>
      <c r="D187" s="62"/>
    </row>
    <row r="188" spans="1:4" ht="39.6" x14ac:dyDescent="0.3">
      <c r="A188" s="60">
        <v>16</v>
      </c>
      <c r="B188" s="61" t="s">
        <v>798</v>
      </c>
      <c r="C188" s="60" t="s">
        <v>914</v>
      </c>
      <c r="D188" s="62" t="s">
        <v>915</v>
      </c>
    </row>
    <row r="189" spans="1:4" ht="39.6" x14ac:dyDescent="0.3">
      <c r="A189" s="60">
        <v>17</v>
      </c>
      <c r="B189" s="61" t="s">
        <v>916</v>
      </c>
      <c r="C189" s="60" t="s">
        <v>917</v>
      </c>
      <c r="D189" s="62" t="s">
        <v>918</v>
      </c>
    </row>
    <row r="190" spans="1:4" ht="26.4" x14ac:dyDescent="0.3">
      <c r="A190" s="60">
        <v>18</v>
      </c>
      <c r="B190" s="61" t="s">
        <v>571</v>
      </c>
      <c r="C190" s="60" t="s">
        <v>919</v>
      </c>
      <c r="D190" s="62" t="s">
        <v>920</v>
      </c>
    </row>
    <row r="191" spans="1:4" x14ac:dyDescent="0.3">
      <c r="A191" s="60">
        <v>19</v>
      </c>
      <c r="B191" s="61" t="s">
        <v>632</v>
      </c>
      <c r="C191" s="60" t="s">
        <v>921</v>
      </c>
      <c r="D191" s="62"/>
    </row>
    <row r="192" spans="1:4" ht="39.6" x14ac:dyDescent="0.3">
      <c r="A192" s="60">
        <v>20</v>
      </c>
      <c r="B192" s="61" t="s">
        <v>737</v>
      </c>
      <c r="C192" s="60" t="s">
        <v>922</v>
      </c>
      <c r="D192" s="62" t="s">
        <v>739</v>
      </c>
    </row>
    <row r="193" spans="1:4" ht="39.6" x14ac:dyDescent="0.3">
      <c r="A193" s="60">
        <v>21</v>
      </c>
      <c r="B193" s="61" t="s">
        <v>740</v>
      </c>
      <c r="C193" s="60" t="s">
        <v>923</v>
      </c>
      <c r="D193" s="62" t="s">
        <v>742</v>
      </c>
    </row>
    <row r="194" spans="1:4" x14ac:dyDescent="0.3">
      <c r="A194" s="60" t="s">
        <v>924</v>
      </c>
      <c r="B194" s="61" t="s">
        <v>925</v>
      </c>
      <c r="C194" s="60"/>
      <c r="D194" s="62"/>
    </row>
    <row r="195" spans="1:4" x14ac:dyDescent="0.3">
      <c r="A195" s="60">
        <v>22</v>
      </c>
      <c r="B195" s="61" t="s">
        <v>856</v>
      </c>
      <c r="C195" s="60" t="s">
        <v>926</v>
      </c>
      <c r="D195" s="62"/>
    </row>
    <row r="196" spans="1:4" ht="26.4" x14ac:dyDescent="0.3">
      <c r="A196" s="60">
        <v>23</v>
      </c>
      <c r="B196" s="61" t="s">
        <v>632</v>
      </c>
      <c r="C196" s="60" t="s">
        <v>927</v>
      </c>
      <c r="D196" s="62"/>
    </row>
    <row r="198" spans="1:4" x14ac:dyDescent="0.3">
      <c r="A198" s="58" t="s">
        <v>928</v>
      </c>
      <c r="B198" s="59"/>
      <c r="C198" s="63" t="s">
        <v>929</v>
      </c>
      <c r="D198" s="59"/>
    </row>
    <row r="199" spans="1:4" ht="26.4" x14ac:dyDescent="0.3">
      <c r="A199" s="60">
        <v>1</v>
      </c>
      <c r="B199" s="61" t="s">
        <v>836</v>
      </c>
      <c r="C199" s="60" t="s">
        <v>930</v>
      </c>
      <c r="D199" s="62" t="s">
        <v>931</v>
      </c>
    </row>
    <row r="200" spans="1:4" ht="26.4" x14ac:dyDescent="0.3">
      <c r="A200" s="60">
        <v>2</v>
      </c>
      <c r="B200" s="61" t="s">
        <v>932</v>
      </c>
      <c r="C200" s="60" t="s">
        <v>933</v>
      </c>
      <c r="D200" s="62" t="s">
        <v>934</v>
      </c>
    </row>
    <row r="201" spans="1:4" ht="39.6" x14ac:dyDescent="0.3">
      <c r="A201" s="60">
        <v>3</v>
      </c>
      <c r="B201" s="61" t="s">
        <v>935</v>
      </c>
      <c r="C201" s="60" t="s">
        <v>936</v>
      </c>
      <c r="D201" s="62"/>
    </row>
    <row r="202" spans="1:4" ht="26.4" x14ac:dyDescent="0.3">
      <c r="A202" s="60">
        <v>4</v>
      </c>
      <c r="B202" s="61" t="s">
        <v>937</v>
      </c>
      <c r="C202" s="60" t="s">
        <v>938</v>
      </c>
      <c r="D202" s="62"/>
    </row>
    <row r="203" spans="1:4" ht="52.8" x14ac:dyDescent="0.3">
      <c r="A203" s="60">
        <v>5</v>
      </c>
      <c r="B203" s="61" t="s">
        <v>939</v>
      </c>
      <c r="C203" s="60" t="s">
        <v>940</v>
      </c>
      <c r="D203" s="62" t="s">
        <v>941</v>
      </c>
    </row>
    <row r="204" spans="1:4" x14ac:dyDescent="0.3">
      <c r="A204" s="60">
        <v>6</v>
      </c>
      <c r="B204" s="61" t="s">
        <v>856</v>
      </c>
      <c r="C204" s="60" t="s">
        <v>942</v>
      </c>
      <c r="D204" s="62"/>
    </row>
    <row r="206" spans="1:4" x14ac:dyDescent="0.3">
      <c r="A206" s="58" t="s">
        <v>943</v>
      </c>
      <c r="B206" s="59"/>
      <c r="C206" s="63" t="s">
        <v>944</v>
      </c>
      <c r="D206" s="59"/>
    </row>
    <row r="207" spans="1:4" ht="26.4" x14ac:dyDescent="0.3">
      <c r="A207" s="60">
        <v>1</v>
      </c>
      <c r="B207" s="61" t="s">
        <v>836</v>
      </c>
      <c r="C207" s="60" t="s">
        <v>945</v>
      </c>
      <c r="D207" s="62" t="s">
        <v>946</v>
      </c>
    </row>
    <row r="208" spans="1:4" x14ac:dyDescent="0.3">
      <c r="A208" s="60">
        <v>2</v>
      </c>
      <c r="B208" s="61" t="s">
        <v>647</v>
      </c>
      <c r="C208" s="60" t="s">
        <v>947</v>
      </c>
      <c r="D208" s="62"/>
    </row>
    <row r="209" spans="1:4" ht="26.4" x14ac:dyDescent="0.3">
      <c r="A209" s="60">
        <v>3</v>
      </c>
      <c r="B209" s="61" t="s">
        <v>780</v>
      </c>
      <c r="C209" s="60" t="s">
        <v>948</v>
      </c>
      <c r="D209" s="62" t="s">
        <v>506</v>
      </c>
    </row>
    <row r="210" spans="1:4" ht="39.6" x14ac:dyDescent="0.3">
      <c r="A210" s="60">
        <v>4</v>
      </c>
      <c r="B210" s="61" t="s">
        <v>949</v>
      </c>
      <c r="C210" s="60" t="s">
        <v>950</v>
      </c>
      <c r="D210" s="62" t="s">
        <v>951</v>
      </c>
    </row>
    <row r="211" spans="1:4" ht="26.4" x14ac:dyDescent="0.3">
      <c r="A211" s="60">
        <v>5</v>
      </c>
      <c r="B211" s="61" t="s">
        <v>952</v>
      </c>
      <c r="C211" s="60" t="s">
        <v>953</v>
      </c>
      <c r="D211" s="62" t="s">
        <v>954</v>
      </c>
    </row>
    <row r="212" spans="1:4" ht="52.8" x14ac:dyDescent="0.3">
      <c r="A212" s="60">
        <v>6</v>
      </c>
      <c r="B212" s="61" t="s">
        <v>955</v>
      </c>
      <c r="C212" s="60" t="s">
        <v>956</v>
      </c>
      <c r="D212" s="62" t="s">
        <v>957</v>
      </c>
    </row>
    <row r="213" spans="1:4" ht="26.4" x14ac:dyDescent="0.3">
      <c r="A213" s="60">
        <v>7</v>
      </c>
      <c r="B213" s="61" t="s">
        <v>958</v>
      </c>
      <c r="C213" s="60" t="s">
        <v>959</v>
      </c>
      <c r="D213" s="62"/>
    </row>
    <row r="214" spans="1:4" ht="26.4" x14ac:dyDescent="0.3">
      <c r="A214" s="60">
        <v>8</v>
      </c>
      <c r="B214" s="61" t="s">
        <v>632</v>
      </c>
      <c r="C214" s="60" t="s">
        <v>960</v>
      </c>
      <c r="D214" s="62"/>
    </row>
    <row r="215" spans="1:4" x14ac:dyDescent="0.3">
      <c r="A215" s="60">
        <v>9</v>
      </c>
      <c r="B215" s="61" t="s">
        <v>856</v>
      </c>
      <c r="C215" s="60" t="s">
        <v>961</v>
      </c>
      <c r="D215" s="62"/>
    </row>
    <row r="217" spans="1:4" x14ac:dyDescent="0.3">
      <c r="A217" s="58" t="s">
        <v>962</v>
      </c>
      <c r="B217" s="59"/>
      <c r="C217" s="59"/>
      <c r="D217" s="59"/>
    </row>
    <row r="218" spans="1:4" x14ac:dyDescent="0.3">
      <c r="A218" s="60">
        <v>1</v>
      </c>
      <c r="B218" s="61" t="s">
        <v>963</v>
      </c>
      <c r="C218" s="60" t="s">
        <v>964</v>
      </c>
      <c r="D218" s="62" t="s">
        <v>965</v>
      </c>
    </row>
    <row r="219" spans="1:4" x14ac:dyDescent="0.3">
      <c r="A219" s="60">
        <v>2</v>
      </c>
      <c r="B219" s="61" t="s">
        <v>966</v>
      </c>
      <c r="C219" s="60" t="s">
        <v>967</v>
      </c>
      <c r="D219" s="62" t="s">
        <v>968</v>
      </c>
    </row>
    <row r="220" spans="1:4" ht="39.6" x14ac:dyDescent="0.3">
      <c r="A220" s="60">
        <v>3</v>
      </c>
      <c r="B220" s="61" t="s">
        <v>196</v>
      </c>
      <c r="C220" s="60" t="s">
        <v>969</v>
      </c>
      <c r="D220" s="62" t="s">
        <v>970</v>
      </c>
    </row>
    <row r="221" spans="1:4" x14ac:dyDescent="0.3">
      <c r="A221" s="60">
        <v>4</v>
      </c>
      <c r="B221" s="61" t="s">
        <v>205</v>
      </c>
      <c r="C221" s="60" t="s">
        <v>971</v>
      </c>
      <c r="D221" s="62" t="s">
        <v>972</v>
      </c>
    </row>
    <row r="222" spans="1:4" ht="26.4" x14ac:dyDescent="0.3">
      <c r="A222" s="60">
        <v>5</v>
      </c>
      <c r="B222" s="61" t="s">
        <v>973</v>
      </c>
      <c r="C222" s="60" t="s">
        <v>974</v>
      </c>
      <c r="D222" s="62" t="s">
        <v>975</v>
      </c>
    </row>
    <row r="223" spans="1:4" ht="39.6" x14ac:dyDescent="0.3">
      <c r="A223" s="60">
        <v>6</v>
      </c>
      <c r="B223" s="61" t="s">
        <v>976</v>
      </c>
      <c r="C223" s="60" t="s">
        <v>977</v>
      </c>
      <c r="D223" s="62" t="s">
        <v>978</v>
      </c>
    </row>
    <row r="224" spans="1:4" ht="66" x14ac:dyDescent="0.3">
      <c r="A224" s="60">
        <v>7</v>
      </c>
      <c r="B224" s="61" t="s">
        <v>979</v>
      </c>
      <c r="C224" s="60" t="s">
        <v>980</v>
      </c>
      <c r="D224" s="62" t="s">
        <v>981</v>
      </c>
    </row>
    <row r="225" spans="1:4" ht="39.6" x14ac:dyDescent="0.3">
      <c r="A225" s="60">
        <v>9</v>
      </c>
      <c r="B225" s="61" t="s">
        <v>982</v>
      </c>
      <c r="C225" s="60" t="s">
        <v>983</v>
      </c>
      <c r="D225" s="62" t="s">
        <v>984</v>
      </c>
    </row>
    <row r="226" spans="1:4" ht="52.8" x14ac:dyDescent="0.3">
      <c r="A226" s="60">
        <v>10</v>
      </c>
      <c r="B226" s="61" t="s">
        <v>985</v>
      </c>
      <c r="C226" s="60" t="s">
        <v>986</v>
      </c>
      <c r="D226" s="62" t="s">
        <v>431</v>
      </c>
    </row>
    <row r="228" spans="1:4" x14ac:dyDescent="0.3">
      <c r="A228" s="58" t="s">
        <v>987</v>
      </c>
      <c r="B228" s="59"/>
      <c r="C228" s="63" t="s">
        <v>988</v>
      </c>
      <c r="D228" s="59"/>
    </row>
    <row r="229" spans="1:4" x14ac:dyDescent="0.3">
      <c r="A229" s="60">
        <v>1</v>
      </c>
      <c r="B229" s="61" t="s">
        <v>27</v>
      </c>
      <c r="C229" s="60" t="s">
        <v>989</v>
      </c>
      <c r="D229" s="62"/>
    </row>
    <row r="230" spans="1:4" ht="52.8" x14ac:dyDescent="0.3">
      <c r="A230" s="60">
        <v>2</v>
      </c>
      <c r="B230" s="61" t="s">
        <v>42</v>
      </c>
      <c r="C230" s="60" t="s">
        <v>990</v>
      </c>
      <c r="D230" s="62" t="s">
        <v>991</v>
      </c>
    </row>
    <row r="231" spans="1:4" ht="26.4" x14ac:dyDescent="0.3">
      <c r="A231" s="60">
        <v>3</v>
      </c>
      <c r="B231" s="61" t="s">
        <v>640</v>
      </c>
      <c r="C231" s="60" t="s">
        <v>992</v>
      </c>
      <c r="D231" s="62" t="s">
        <v>993</v>
      </c>
    </row>
    <row r="232" spans="1:4" ht="26.4" x14ac:dyDescent="0.3">
      <c r="A232" s="60">
        <v>4</v>
      </c>
      <c r="B232" s="61" t="s">
        <v>686</v>
      </c>
      <c r="C232" s="60" t="s">
        <v>994</v>
      </c>
      <c r="D232" s="62" t="s">
        <v>338</v>
      </c>
    </row>
    <row r="233" spans="1:4" ht="26.4" x14ac:dyDescent="0.3">
      <c r="A233" s="60">
        <v>5</v>
      </c>
      <c r="B233" s="61" t="s">
        <v>218</v>
      </c>
      <c r="C233" s="60" t="s">
        <v>995</v>
      </c>
      <c r="D233" s="62" t="s">
        <v>996</v>
      </c>
    </row>
    <row r="234" spans="1:4" ht="66" x14ac:dyDescent="0.3">
      <c r="A234" s="60">
        <v>6</v>
      </c>
      <c r="B234" s="61" t="s">
        <v>997</v>
      </c>
      <c r="C234" s="60" t="s">
        <v>998</v>
      </c>
      <c r="D234" s="62" t="s">
        <v>999</v>
      </c>
    </row>
    <row r="235" spans="1:4" x14ac:dyDescent="0.3">
      <c r="A235" s="60">
        <v>7</v>
      </c>
      <c r="B235" s="61" t="s">
        <v>1000</v>
      </c>
      <c r="C235" s="60" t="s">
        <v>1001</v>
      </c>
      <c r="D235" s="62"/>
    </row>
    <row r="236" spans="1:4" ht="52.8" x14ac:dyDescent="0.3">
      <c r="A236" s="60">
        <v>8</v>
      </c>
      <c r="B236" s="61" t="s">
        <v>1002</v>
      </c>
      <c r="C236" s="60" t="s">
        <v>1003</v>
      </c>
      <c r="D236" s="62" t="s">
        <v>1004</v>
      </c>
    </row>
    <row r="237" spans="1:4" ht="39.6" x14ac:dyDescent="0.3">
      <c r="A237" s="60">
        <v>9</v>
      </c>
      <c r="B237" s="61" t="s">
        <v>1005</v>
      </c>
      <c r="C237" s="60" t="s">
        <v>1006</v>
      </c>
      <c r="D237" s="62"/>
    </row>
    <row r="238" spans="1:4" ht="26.4" x14ac:dyDescent="0.3">
      <c r="A238" s="60">
        <v>10</v>
      </c>
      <c r="B238" s="61" t="s">
        <v>1007</v>
      </c>
      <c r="C238" s="60" t="s">
        <v>1008</v>
      </c>
      <c r="D238" s="62"/>
    </row>
    <row r="239" spans="1:4" ht="66" x14ac:dyDescent="0.3">
      <c r="A239" s="60">
        <v>8</v>
      </c>
      <c r="B239" s="61" t="s">
        <v>1009</v>
      </c>
      <c r="C239" s="60" t="s">
        <v>1010</v>
      </c>
      <c r="D239" s="6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
  <sheetViews>
    <sheetView zoomScaleNormal="100" workbookViewId="0"/>
  </sheetViews>
  <sheetFormatPr baseColWidth="10" defaultColWidth="8.6640625" defaultRowHeight="14.4" x14ac:dyDescent="0.3"/>
  <cols>
    <col min="1" max="1" width="5" customWidth="1"/>
    <col min="2" max="2" width="18" customWidth="1"/>
    <col min="3" max="3" width="30" customWidth="1"/>
    <col min="4" max="4" width="20" customWidth="1"/>
    <col min="5" max="5" width="30" customWidth="1"/>
    <col min="6" max="6" width="22" customWidth="1"/>
    <col min="7" max="7" width="46" customWidth="1"/>
  </cols>
  <sheetData>
    <row r="1" spans="1:7" x14ac:dyDescent="0.3">
      <c r="A1" s="2" t="s">
        <v>1011</v>
      </c>
    </row>
    <row r="3" spans="1:7" x14ac:dyDescent="0.3">
      <c r="A3" s="1" t="s">
        <v>533</v>
      </c>
      <c r="B3" s="1" t="s">
        <v>4</v>
      </c>
      <c r="C3" s="1" t="s">
        <v>1012</v>
      </c>
      <c r="D3" s="1" t="s">
        <v>1013</v>
      </c>
      <c r="E3" s="1" t="s">
        <v>1012</v>
      </c>
      <c r="F3" s="1" t="s">
        <v>1014</v>
      </c>
      <c r="G3" s="1" t="s">
        <v>1015</v>
      </c>
    </row>
    <row r="4" spans="1:7" ht="39.6" x14ac:dyDescent="0.3">
      <c r="A4" s="60">
        <v>0</v>
      </c>
      <c r="B4" s="60" t="s">
        <v>1016</v>
      </c>
      <c r="C4" s="60" t="s">
        <v>1017</v>
      </c>
      <c r="D4" s="60" t="s">
        <v>1018</v>
      </c>
      <c r="E4" s="60" t="s">
        <v>1018</v>
      </c>
      <c r="F4" s="60" t="s">
        <v>1018</v>
      </c>
      <c r="G4" s="60" t="s">
        <v>1019</v>
      </c>
    </row>
    <row r="5" spans="1:7" ht="26.4" x14ac:dyDescent="0.3">
      <c r="A5" s="60">
        <v>1</v>
      </c>
      <c r="B5" s="60" t="s">
        <v>27</v>
      </c>
      <c r="C5" s="60" t="s">
        <v>1018</v>
      </c>
      <c r="D5" s="60" t="s">
        <v>1018</v>
      </c>
      <c r="E5" s="60" t="s">
        <v>1018</v>
      </c>
      <c r="F5" s="60" t="s">
        <v>1020</v>
      </c>
      <c r="G5" s="60" t="s">
        <v>1021</v>
      </c>
    </row>
    <row r="6" spans="1:7" x14ac:dyDescent="0.3">
      <c r="A6" s="60">
        <v>2</v>
      </c>
      <c r="B6" s="60" t="s">
        <v>42</v>
      </c>
      <c r="C6" s="60" t="s">
        <v>1022</v>
      </c>
      <c r="D6" s="60" t="s">
        <v>27</v>
      </c>
      <c r="E6" s="60" t="s">
        <v>1022</v>
      </c>
      <c r="F6" s="60" t="s">
        <v>1023</v>
      </c>
      <c r="G6" s="60"/>
    </row>
    <row r="7" spans="1:7" ht="26.4" x14ac:dyDescent="0.3">
      <c r="A7" s="60">
        <v>3</v>
      </c>
      <c r="B7" s="60" t="s">
        <v>42</v>
      </c>
      <c r="C7" s="60" t="s">
        <v>1024</v>
      </c>
      <c r="D7" s="60" t="s">
        <v>27</v>
      </c>
      <c r="E7" s="60" t="s">
        <v>1024</v>
      </c>
      <c r="F7" s="60" t="s">
        <v>1025</v>
      </c>
      <c r="G7" s="60" t="s">
        <v>1026</v>
      </c>
    </row>
    <row r="8" spans="1:7" ht="26.4" x14ac:dyDescent="0.3">
      <c r="A8" s="60">
        <v>4</v>
      </c>
      <c r="B8" s="60" t="s">
        <v>42</v>
      </c>
      <c r="C8" s="60" t="s">
        <v>1027</v>
      </c>
      <c r="D8" s="60" t="s">
        <v>27</v>
      </c>
      <c r="E8" s="60" t="s">
        <v>1027</v>
      </c>
      <c r="F8" s="60" t="s">
        <v>1028</v>
      </c>
      <c r="G8" s="62" t="s">
        <v>1029</v>
      </c>
    </row>
    <row r="9" spans="1:7" x14ac:dyDescent="0.3">
      <c r="A9" s="60">
        <v>5</v>
      </c>
      <c r="B9" s="60" t="s">
        <v>640</v>
      </c>
      <c r="C9" s="60" t="s">
        <v>1022</v>
      </c>
      <c r="D9" s="60" t="s">
        <v>27</v>
      </c>
      <c r="E9" s="60" t="s">
        <v>1022</v>
      </c>
      <c r="F9" s="60" t="s">
        <v>1023</v>
      </c>
      <c r="G9" s="60"/>
    </row>
    <row r="10" spans="1:7" x14ac:dyDescent="0.3">
      <c r="A10" s="60">
        <v>6</v>
      </c>
      <c r="B10" s="60" t="s">
        <v>640</v>
      </c>
      <c r="C10" s="60" t="s">
        <v>1024</v>
      </c>
      <c r="D10" s="60" t="s">
        <v>27</v>
      </c>
      <c r="E10" s="60" t="s">
        <v>1024</v>
      </c>
      <c r="F10" s="60" t="s">
        <v>1025</v>
      </c>
      <c r="G10" s="60"/>
    </row>
    <row r="11" spans="1:7" ht="26.4" x14ac:dyDescent="0.3">
      <c r="A11" s="60">
        <v>7</v>
      </c>
      <c r="B11" s="60" t="s">
        <v>640</v>
      </c>
      <c r="C11" s="60" t="s">
        <v>1027</v>
      </c>
      <c r="D11" s="60" t="s">
        <v>27</v>
      </c>
      <c r="E11" s="60" t="s">
        <v>1027</v>
      </c>
      <c r="F11" s="60" t="s">
        <v>1028</v>
      </c>
      <c r="G11" s="62" t="s">
        <v>1030</v>
      </c>
    </row>
    <row r="12" spans="1:7" x14ac:dyDescent="0.3">
      <c r="A12" s="60">
        <v>8</v>
      </c>
      <c r="B12" s="60" t="s">
        <v>686</v>
      </c>
      <c r="C12" s="60" t="s">
        <v>1031</v>
      </c>
      <c r="D12" s="60" t="s">
        <v>27</v>
      </c>
      <c r="E12" s="60" t="s">
        <v>1031</v>
      </c>
      <c r="F12" s="60" t="s">
        <v>1032</v>
      </c>
      <c r="G12" s="60"/>
    </row>
    <row r="13" spans="1:7" x14ac:dyDescent="0.3">
      <c r="A13" s="60">
        <v>9</v>
      </c>
      <c r="B13" s="60" t="s">
        <v>686</v>
      </c>
      <c r="C13" s="60" t="s">
        <v>1027</v>
      </c>
      <c r="D13" s="60" t="s">
        <v>27</v>
      </c>
      <c r="E13" s="60" t="s">
        <v>1027</v>
      </c>
      <c r="F13" s="60" t="s">
        <v>1028</v>
      </c>
      <c r="G13" s="62" t="s">
        <v>1033</v>
      </c>
    </row>
    <row r="14" spans="1:7" x14ac:dyDescent="0.3">
      <c r="A14" s="60">
        <v>10</v>
      </c>
      <c r="B14" s="60" t="s">
        <v>218</v>
      </c>
      <c r="C14" s="60" t="s">
        <v>1031</v>
      </c>
      <c r="D14" s="60" t="s">
        <v>27</v>
      </c>
      <c r="E14" s="60" t="s">
        <v>1031</v>
      </c>
      <c r="F14" s="60" t="s">
        <v>1032</v>
      </c>
      <c r="G14" s="60"/>
    </row>
    <row r="15" spans="1:7" x14ac:dyDescent="0.3">
      <c r="A15" s="60">
        <v>11</v>
      </c>
      <c r="B15" s="60" t="s">
        <v>218</v>
      </c>
      <c r="C15" s="60" t="s">
        <v>1027</v>
      </c>
      <c r="D15" s="60" t="s">
        <v>27</v>
      </c>
      <c r="E15" s="60" t="s">
        <v>1027</v>
      </c>
      <c r="F15" s="60" t="s">
        <v>1028</v>
      </c>
      <c r="G15" s="62" t="s">
        <v>1034</v>
      </c>
    </row>
    <row r="16" spans="1:7" x14ac:dyDescent="0.3">
      <c r="A16" s="60">
        <v>12</v>
      </c>
      <c r="B16" s="60" t="s">
        <v>1035</v>
      </c>
      <c r="C16" s="60" t="s">
        <v>1036</v>
      </c>
      <c r="D16" s="60" t="s">
        <v>27</v>
      </c>
      <c r="E16" s="60" t="s">
        <v>1022</v>
      </c>
      <c r="F16" s="60" t="s">
        <v>1023</v>
      </c>
      <c r="G16" s="60" t="s">
        <v>1037</v>
      </c>
    </row>
    <row r="17" spans="1:7" x14ac:dyDescent="0.3">
      <c r="A17" s="60">
        <v>13</v>
      </c>
      <c r="B17" s="60" t="s">
        <v>1035</v>
      </c>
      <c r="C17" s="60" t="s">
        <v>1038</v>
      </c>
      <c r="D17" s="60" t="s">
        <v>27</v>
      </c>
      <c r="E17" s="60" t="s">
        <v>1039</v>
      </c>
      <c r="F17" s="60" t="s">
        <v>1040</v>
      </c>
      <c r="G17" s="62" t="s">
        <v>1041</v>
      </c>
    </row>
    <row r="18" spans="1:7" x14ac:dyDescent="0.3">
      <c r="A18" s="60">
        <v>14</v>
      </c>
      <c r="B18" s="60" t="s">
        <v>1042</v>
      </c>
      <c r="C18" s="60" t="s">
        <v>1043</v>
      </c>
      <c r="D18" s="60" t="s">
        <v>640</v>
      </c>
      <c r="E18" s="60" t="s">
        <v>1044</v>
      </c>
      <c r="F18" s="60" t="s">
        <v>1045</v>
      </c>
      <c r="G18" s="60" t="s">
        <v>1046</v>
      </c>
    </row>
    <row r="19" spans="1:7" x14ac:dyDescent="0.3">
      <c r="A19" s="60">
        <v>15</v>
      </c>
      <c r="B19" s="60" t="s">
        <v>1042</v>
      </c>
      <c r="C19" s="60" t="s">
        <v>1047</v>
      </c>
      <c r="D19" s="60" t="s">
        <v>640</v>
      </c>
      <c r="E19" s="60" t="s">
        <v>1048</v>
      </c>
      <c r="F19" s="60" t="s">
        <v>1045</v>
      </c>
      <c r="G19" s="60" t="s">
        <v>1046</v>
      </c>
    </row>
    <row r="20" spans="1:7" x14ac:dyDescent="0.3">
      <c r="A20" s="60">
        <v>16</v>
      </c>
      <c r="B20" s="60" t="s">
        <v>1042</v>
      </c>
      <c r="C20" s="60" t="s">
        <v>1049</v>
      </c>
      <c r="D20" s="60" t="s">
        <v>686</v>
      </c>
      <c r="E20" s="60" t="s">
        <v>1039</v>
      </c>
      <c r="F20" s="60" t="s">
        <v>1045</v>
      </c>
      <c r="G20" s="62" t="s">
        <v>1050</v>
      </c>
    </row>
    <row r="21" spans="1:7" ht="26.4" x14ac:dyDescent="0.3">
      <c r="A21" s="60">
        <v>17</v>
      </c>
      <c r="B21" s="60" t="s">
        <v>1042</v>
      </c>
      <c r="C21" s="60" t="s">
        <v>1051</v>
      </c>
      <c r="D21" s="60" t="s">
        <v>640</v>
      </c>
      <c r="E21" s="60" t="s">
        <v>1052</v>
      </c>
      <c r="F21" s="60" t="s">
        <v>1053</v>
      </c>
      <c r="G21" s="60" t="s">
        <v>1054</v>
      </c>
    </row>
    <row r="22" spans="1:7" x14ac:dyDescent="0.3">
      <c r="A22" s="60">
        <v>18</v>
      </c>
      <c r="B22" s="60" t="s">
        <v>196</v>
      </c>
      <c r="C22" s="60" t="s">
        <v>1055</v>
      </c>
      <c r="D22" s="60" t="s">
        <v>686</v>
      </c>
      <c r="E22" s="60" t="s">
        <v>1027</v>
      </c>
      <c r="F22" s="60" t="s">
        <v>1028</v>
      </c>
      <c r="G22" s="62" t="s">
        <v>1056</v>
      </c>
    </row>
    <row r="23" spans="1:7" x14ac:dyDescent="0.3">
      <c r="A23" s="60">
        <v>19</v>
      </c>
      <c r="B23" s="60" t="s">
        <v>205</v>
      </c>
      <c r="C23" s="60" t="s">
        <v>1055</v>
      </c>
      <c r="D23" s="60" t="s">
        <v>686</v>
      </c>
      <c r="E23" s="60" t="s">
        <v>1027</v>
      </c>
      <c r="F23" s="60" t="s">
        <v>1028</v>
      </c>
      <c r="G23" s="62" t="s">
        <v>1057</v>
      </c>
    </row>
    <row r="24" spans="1:7" x14ac:dyDescent="0.3">
      <c r="A24" s="60">
        <v>20</v>
      </c>
      <c r="B24" s="60" t="s">
        <v>966</v>
      </c>
      <c r="C24" s="60" t="s">
        <v>1058</v>
      </c>
      <c r="D24" s="60" t="s">
        <v>1059</v>
      </c>
      <c r="E24" s="60" t="s">
        <v>1060</v>
      </c>
      <c r="F24" s="60" t="s">
        <v>1040</v>
      </c>
      <c r="G24" s="60" t="s">
        <v>1061</v>
      </c>
    </row>
    <row r="25" spans="1:7" x14ac:dyDescent="0.3">
      <c r="A25" s="60">
        <v>21</v>
      </c>
      <c r="B25" s="60" t="s">
        <v>976</v>
      </c>
      <c r="C25" s="60" t="s">
        <v>1062</v>
      </c>
      <c r="D25" s="60" t="s">
        <v>42</v>
      </c>
      <c r="E25" s="60" t="s">
        <v>1063</v>
      </c>
      <c r="F25" s="60" t="s">
        <v>1064</v>
      </c>
      <c r="G25" s="60" t="s">
        <v>1065</v>
      </c>
    </row>
    <row r="26" spans="1:7" x14ac:dyDescent="0.3">
      <c r="A26" s="60">
        <v>22</v>
      </c>
      <c r="B26" s="60" t="s">
        <v>1066</v>
      </c>
      <c r="C26" s="60" t="s">
        <v>1058</v>
      </c>
      <c r="D26" s="60" t="s">
        <v>966</v>
      </c>
      <c r="E26" s="60" t="s">
        <v>1067</v>
      </c>
      <c r="F26" s="60" t="s">
        <v>1040</v>
      </c>
      <c r="G26" s="60" t="s">
        <v>1068</v>
      </c>
    </row>
    <row r="27" spans="1:7" ht="26.4" x14ac:dyDescent="0.3">
      <c r="A27" s="60">
        <v>23</v>
      </c>
      <c r="B27" s="60" t="s">
        <v>1069</v>
      </c>
      <c r="C27" s="60" t="s">
        <v>1058</v>
      </c>
      <c r="D27" s="60" t="s">
        <v>686</v>
      </c>
      <c r="E27" s="60" t="s">
        <v>1070</v>
      </c>
      <c r="F27" s="60" t="s">
        <v>1040</v>
      </c>
      <c r="G27" s="60" t="s">
        <v>1071</v>
      </c>
    </row>
    <row r="28" spans="1:7" x14ac:dyDescent="0.3">
      <c r="A28" s="60">
        <v>24</v>
      </c>
      <c r="B28" s="60" t="s">
        <v>103</v>
      </c>
      <c r="C28" s="60" t="s">
        <v>1018</v>
      </c>
      <c r="D28" s="60" t="s">
        <v>1018</v>
      </c>
      <c r="E28" s="60" t="s">
        <v>1018</v>
      </c>
      <c r="F28" s="60" t="s">
        <v>1072</v>
      </c>
      <c r="G28" s="60" t="s">
        <v>1073</v>
      </c>
    </row>
    <row r="29" spans="1:7" x14ac:dyDescent="0.3">
      <c r="A29" s="60">
        <v>25</v>
      </c>
      <c r="B29" s="60" t="s">
        <v>1074</v>
      </c>
      <c r="C29" s="60" t="s">
        <v>1022</v>
      </c>
      <c r="D29" s="60" t="s">
        <v>27</v>
      </c>
      <c r="E29" s="60" t="s">
        <v>1022</v>
      </c>
      <c r="F29" s="60" t="s">
        <v>1023</v>
      </c>
      <c r="G29" s="60" t="s">
        <v>1075</v>
      </c>
    </row>
    <row r="30" spans="1:7" ht="26.4" x14ac:dyDescent="0.3">
      <c r="A30" s="60">
        <v>26</v>
      </c>
      <c r="B30" s="60" t="s">
        <v>1074</v>
      </c>
      <c r="C30" s="60" t="s">
        <v>1027</v>
      </c>
      <c r="D30" s="60" t="s">
        <v>27</v>
      </c>
      <c r="E30" s="60" t="s">
        <v>1027</v>
      </c>
      <c r="F30" s="60" t="s">
        <v>1028</v>
      </c>
      <c r="G30" s="62" t="s">
        <v>1076</v>
      </c>
    </row>
    <row r="31" spans="1:7" x14ac:dyDescent="0.3">
      <c r="A31" s="60">
        <v>27</v>
      </c>
      <c r="B31" s="60" t="s">
        <v>1074</v>
      </c>
      <c r="C31" s="60" t="s">
        <v>1077</v>
      </c>
      <c r="D31" s="60" t="s">
        <v>686</v>
      </c>
      <c r="E31" s="60" t="s">
        <v>1078</v>
      </c>
      <c r="F31" s="60" t="s">
        <v>1023</v>
      </c>
      <c r="G31" s="60" t="s">
        <v>1079</v>
      </c>
    </row>
    <row r="32" spans="1:7" ht="26.4" x14ac:dyDescent="0.3">
      <c r="A32" s="60">
        <v>28</v>
      </c>
      <c r="B32" s="60" t="s">
        <v>1080</v>
      </c>
      <c r="C32" s="60" t="s">
        <v>1081</v>
      </c>
      <c r="D32" s="60" t="s">
        <v>686</v>
      </c>
      <c r="E32" s="60" t="s">
        <v>1082</v>
      </c>
      <c r="F32" s="60" t="s">
        <v>1040</v>
      </c>
      <c r="G32" s="60" t="s">
        <v>1083</v>
      </c>
    </row>
    <row r="33" spans="1:7" x14ac:dyDescent="0.3">
      <c r="A33" s="60">
        <v>29</v>
      </c>
      <c r="B33" s="60" t="s">
        <v>435</v>
      </c>
      <c r="C33" s="60" t="s">
        <v>1031</v>
      </c>
      <c r="D33" s="60" t="s">
        <v>27</v>
      </c>
      <c r="E33" s="60" t="s">
        <v>1031</v>
      </c>
      <c r="F33" s="60" t="s">
        <v>1032</v>
      </c>
      <c r="G33" s="60" t="s">
        <v>1084</v>
      </c>
    </row>
    <row r="34" spans="1:7" x14ac:dyDescent="0.3">
      <c r="A34" s="60">
        <v>30</v>
      </c>
      <c r="B34" s="60" t="s">
        <v>435</v>
      </c>
      <c r="C34" s="60" t="s">
        <v>1027</v>
      </c>
      <c r="D34" s="60" t="s">
        <v>27</v>
      </c>
      <c r="E34" s="60" t="s">
        <v>1027</v>
      </c>
      <c r="F34" s="60" t="s">
        <v>1028</v>
      </c>
      <c r="G34" s="62" t="s">
        <v>1085</v>
      </c>
    </row>
    <row r="35" spans="1:7" x14ac:dyDescent="0.3">
      <c r="A35" s="60">
        <v>31</v>
      </c>
      <c r="B35" s="60" t="s">
        <v>1042</v>
      </c>
      <c r="C35" s="60" t="s">
        <v>1086</v>
      </c>
      <c r="D35" s="60" t="s">
        <v>435</v>
      </c>
      <c r="E35" s="60" t="s">
        <v>912</v>
      </c>
      <c r="F35" s="60" t="s">
        <v>1053</v>
      </c>
      <c r="G35" s="60" t="s">
        <v>1087</v>
      </c>
    </row>
    <row r="36" spans="1:7" ht="26.4" x14ac:dyDescent="0.3">
      <c r="A36" s="60">
        <v>32</v>
      </c>
      <c r="B36" s="60" t="s">
        <v>1088</v>
      </c>
      <c r="C36" s="60" t="s">
        <v>1089</v>
      </c>
      <c r="D36" s="60" t="s">
        <v>435</v>
      </c>
      <c r="E36" s="60" t="s">
        <v>1090</v>
      </c>
      <c r="F36" s="60" t="s">
        <v>1040</v>
      </c>
      <c r="G36" s="60" t="s">
        <v>1091</v>
      </c>
    </row>
    <row r="37" spans="1:7" ht="26.4" x14ac:dyDescent="0.3">
      <c r="A37" s="60">
        <v>33</v>
      </c>
      <c r="B37" s="60" t="s">
        <v>1042</v>
      </c>
      <c r="C37" s="60" t="s">
        <v>1092</v>
      </c>
      <c r="D37" s="60" t="s">
        <v>1018</v>
      </c>
      <c r="E37" s="60" t="s">
        <v>1018</v>
      </c>
      <c r="F37" s="60" t="s">
        <v>1093</v>
      </c>
      <c r="G37" s="60" t="s">
        <v>1094</v>
      </c>
    </row>
    <row r="38" spans="1:7" ht="52.8" x14ac:dyDescent="0.3">
      <c r="A38" s="60">
        <v>34</v>
      </c>
      <c r="B38" s="60" t="s">
        <v>1095</v>
      </c>
      <c r="C38" s="60" t="s">
        <v>1096</v>
      </c>
      <c r="D38" s="60" t="s">
        <v>1018</v>
      </c>
      <c r="E38" s="60" t="s">
        <v>1018</v>
      </c>
      <c r="F38" s="60" t="s">
        <v>1097</v>
      </c>
      <c r="G38" s="62" t="s">
        <v>1098</v>
      </c>
    </row>
    <row r="39" spans="1:7" ht="26.4" x14ac:dyDescent="0.3">
      <c r="A39" s="60">
        <v>35</v>
      </c>
      <c r="B39" s="60" t="s">
        <v>1095</v>
      </c>
      <c r="C39" s="60" t="s">
        <v>1099</v>
      </c>
      <c r="D39" s="60" t="s">
        <v>27</v>
      </c>
      <c r="E39" s="60" t="s">
        <v>1099</v>
      </c>
      <c r="F39" s="60" t="s">
        <v>1100</v>
      </c>
      <c r="G39" s="60" t="s">
        <v>1101</v>
      </c>
    </row>
    <row r="40" spans="1:7" ht="26.4" x14ac:dyDescent="0.3">
      <c r="A40" s="60">
        <v>36</v>
      </c>
      <c r="B40" s="60" t="s">
        <v>1095</v>
      </c>
      <c r="C40" s="60" t="s">
        <v>1102</v>
      </c>
      <c r="D40" s="60" t="s">
        <v>27</v>
      </c>
      <c r="E40" s="60" t="s">
        <v>1102</v>
      </c>
      <c r="F40" s="60" t="s">
        <v>1103</v>
      </c>
      <c r="G40" s="60" t="s">
        <v>1104</v>
      </c>
    </row>
    <row r="41" spans="1:7" ht="39.6" x14ac:dyDescent="0.3">
      <c r="A41" s="60">
        <v>37</v>
      </c>
      <c r="B41" s="60" t="s">
        <v>1095</v>
      </c>
      <c r="C41" s="60" t="s">
        <v>1105</v>
      </c>
      <c r="D41" s="60" t="s">
        <v>218</v>
      </c>
      <c r="E41" s="60" t="s">
        <v>1106</v>
      </c>
      <c r="F41" s="60" t="s">
        <v>1107</v>
      </c>
      <c r="G41" s="60" t="s">
        <v>1108</v>
      </c>
    </row>
    <row r="42" spans="1:7" ht="52.8" x14ac:dyDescent="0.3">
      <c r="A42" s="60">
        <v>38</v>
      </c>
      <c r="B42" s="60" t="s">
        <v>1109</v>
      </c>
      <c r="C42" s="60" t="s">
        <v>1110</v>
      </c>
      <c r="D42" s="60" t="s">
        <v>1111</v>
      </c>
      <c r="E42" s="60" t="s">
        <v>1110</v>
      </c>
      <c r="F42" s="60" t="s">
        <v>1112</v>
      </c>
      <c r="G42" s="60" t="s">
        <v>1113</v>
      </c>
    </row>
    <row r="43" spans="1:7" ht="39.6" x14ac:dyDescent="0.3">
      <c r="A43" s="60">
        <v>39</v>
      </c>
      <c r="B43" s="60" t="s">
        <v>1114</v>
      </c>
      <c r="C43" s="60" t="s">
        <v>1115</v>
      </c>
      <c r="D43" s="60" t="s">
        <v>1116</v>
      </c>
      <c r="E43" s="60" t="s">
        <v>1117</v>
      </c>
      <c r="F43" s="60" t="s">
        <v>1118</v>
      </c>
      <c r="G43" s="62" t="s">
        <v>1119</v>
      </c>
    </row>
    <row r="44" spans="1:7" ht="52.8" x14ac:dyDescent="0.3">
      <c r="A44" s="60">
        <v>40</v>
      </c>
      <c r="B44" s="60" t="s">
        <v>1120</v>
      </c>
      <c r="C44" s="60" t="s">
        <v>1121</v>
      </c>
      <c r="D44" s="60" t="s">
        <v>1111</v>
      </c>
      <c r="E44" s="60" t="s">
        <v>1121</v>
      </c>
      <c r="F44" s="60" t="s">
        <v>1122</v>
      </c>
      <c r="G44" s="62" t="s">
        <v>1123</v>
      </c>
    </row>
    <row r="45" spans="1:7" ht="26.4" x14ac:dyDescent="0.3">
      <c r="A45" s="60">
        <v>41</v>
      </c>
      <c r="B45" s="60" t="s">
        <v>1042</v>
      </c>
      <c r="C45" s="60" t="s">
        <v>1124</v>
      </c>
      <c r="D45" s="60" t="s">
        <v>1018</v>
      </c>
      <c r="E45" s="60" t="s">
        <v>1018</v>
      </c>
      <c r="F45" s="60" t="s">
        <v>1125</v>
      </c>
      <c r="G45" s="60" t="s">
        <v>1126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
  <sheetViews>
    <sheetView zoomScaleNormal="100" workbookViewId="0"/>
  </sheetViews>
  <sheetFormatPr baseColWidth="10" defaultColWidth="8.6640625" defaultRowHeight="14.4" x14ac:dyDescent="0.3"/>
  <cols>
    <col min="1" max="1" width="16" customWidth="1"/>
    <col min="2" max="2" width="12" customWidth="1"/>
    <col min="3" max="3" width="8" customWidth="1"/>
    <col min="4" max="4" width="80" customWidth="1"/>
  </cols>
  <sheetData>
    <row r="1" spans="1:4" x14ac:dyDescent="0.3">
      <c r="A1" s="2" t="s">
        <v>1127</v>
      </c>
    </row>
    <row r="3" spans="1:4" x14ac:dyDescent="0.3">
      <c r="A3" s="64" t="s">
        <v>1128</v>
      </c>
      <c r="B3" s="65">
        <v>1.5999999999999999E-5</v>
      </c>
      <c r="C3" s="64" t="s">
        <v>385</v>
      </c>
      <c r="D3" s="64" t="s">
        <v>1129</v>
      </c>
    </row>
    <row r="4" spans="1:4" x14ac:dyDescent="0.3">
      <c r="A4" s="64" t="s">
        <v>1130</v>
      </c>
      <c r="B4" s="65">
        <v>5.5000000000000003E-7</v>
      </c>
      <c r="C4" s="64" t="s">
        <v>385</v>
      </c>
      <c r="D4" s="64" t="s">
        <v>1131</v>
      </c>
    </row>
    <row r="5" spans="1:4" x14ac:dyDescent="0.3">
      <c r="A5" s="64" t="s">
        <v>1132</v>
      </c>
      <c r="B5" s="65">
        <v>1.2999999999999999E-5</v>
      </c>
      <c r="C5" s="64" t="s">
        <v>385</v>
      </c>
      <c r="D5" s="64" t="s">
        <v>1133</v>
      </c>
    </row>
    <row r="6" spans="1:4" x14ac:dyDescent="0.3">
      <c r="A6" s="64" t="s">
        <v>1134</v>
      </c>
      <c r="B6" s="65">
        <v>4.7999999999999998E-6</v>
      </c>
      <c r="C6" s="64" t="s">
        <v>385</v>
      </c>
      <c r="D6" s="64" t="s">
        <v>1135</v>
      </c>
    </row>
    <row r="7" spans="1:4" x14ac:dyDescent="0.3">
      <c r="A7" s="64" t="s">
        <v>1136</v>
      </c>
      <c r="B7" s="66">
        <v>150</v>
      </c>
      <c r="C7" s="64" t="s">
        <v>388</v>
      </c>
      <c r="D7" s="64" t="s">
        <v>1137</v>
      </c>
    </row>
    <row r="8" spans="1:4" x14ac:dyDescent="0.3">
      <c r="A8" s="64" t="s">
        <v>1138</v>
      </c>
      <c r="B8" s="66">
        <v>8</v>
      </c>
      <c r="C8" s="64" t="s">
        <v>1139</v>
      </c>
      <c r="D8" s="64" t="s">
        <v>1140</v>
      </c>
    </row>
    <row r="9" spans="1:4" x14ac:dyDescent="0.3">
      <c r="A9" s="64" t="s">
        <v>1141</v>
      </c>
      <c r="B9" s="66">
        <v>0.1</v>
      </c>
      <c r="C9" s="64" t="s">
        <v>7</v>
      </c>
      <c r="D9" s="64" t="s">
        <v>1142</v>
      </c>
    </row>
    <row r="11" spans="1:4" x14ac:dyDescent="0.3">
      <c r="A11" s="2" t="s">
        <v>1143</v>
      </c>
    </row>
    <row r="12" spans="1:4" x14ac:dyDescent="0.3">
      <c r="A12" s="64" t="s">
        <v>1144</v>
      </c>
      <c r="B12" s="67">
        <f>$B$8*(Parameter!$B$108-Parameter!$B$109)</f>
        <v>12</v>
      </c>
      <c r="C12" s="64" t="s">
        <v>1145</v>
      </c>
      <c r="D12" s="64" t="s">
        <v>1146</v>
      </c>
    </row>
    <row r="13" spans="1:4" x14ac:dyDescent="0.3">
      <c r="A13" s="64" t="s">
        <v>1147</v>
      </c>
      <c r="B13" s="67">
        <f>Parameter!$B$33*B12</f>
        <v>108</v>
      </c>
      <c r="C13" s="64" t="s">
        <v>1145</v>
      </c>
      <c r="D13" s="64" t="s">
        <v>1148</v>
      </c>
    </row>
    <row r="14" spans="1:4" x14ac:dyDescent="0.3">
      <c r="A14" s="64" t="s">
        <v>1149</v>
      </c>
      <c r="B14" s="67">
        <f>$B$8*$B$9</f>
        <v>0.8</v>
      </c>
      <c r="C14" s="64" t="s">
        <v>1145</v>
      </c>
      <c r="D14" s="64" t="s">
        <v>1150</v>
      </c>
    </row>
    <row r="15" spans="1:4" x14ac:dyDescent="0.3">
      <c r="A15" s="64" t="s">
        <v>1151</v>
      </c>
      <c r="B15" s="67">
        <f>B13/(PI()/4*(Parameter!$B$3^2-Parameter!$B$2^2))</f>
        <v>0.10073983211091397</v>
      </c>
      <c r="C15" s="64" t="s">
        <v>1152</v>
      </c>
      <c r="D15" s="64" t="s">
        <v>1153</v>
      </c>
    </row>
    <row r="16" spans="1:4" x14ac:dyDescent="0.3">
      <c r="A16" s="64" t="s">
        <v>1154</v>
      </c>
      <c r="B16" s="67">
        <f>(Parameter!$B$82*(1+Parameter!$B$172*Parameter!$B$173)-(Parameter!$B$79*(1+$B$3*Parameter!$B$173)-Parameter!$B$4*(1+$B$4*Parameter!$B$173))/2)/(Parameter!$B$82*(1+Parameter!$B$172*Parameter!$B$173))</f>
        <v>0.22648915535179198</v>
      </c>
      <c r="C16" s="64" t="s">
        <v>87</v>
      </c>
      <c r="D16" s="64" t="s">
        <v>1155</v>
      </c>
    </row>
    <row r="17" spans="1:4" x14ac:dyDescent="0.3">
      <c r="A17" s="64" t="s">
        <v>1156</v>
      </c>
      <c r="B17" s="67">
        <f>PI()*Parameter!$B$82^2/4/(Parameter!$B$75*(Parameter!$B$79-Parameter!$B$4)/2)</f>
        <v>0.74735211415428016</v>
      </c>
      <c r="C17" s="64" t="s">
        <v>87</v>
      </c>
      <c r="D17" s="64" t="s">
        <v>1157</v>
      </c>
    </row>
    <row r="18" spans="1:4" x14ac:dyDescent="0.3">
      <c r="A18" s="64" t="s">
        <v>1158</v>
      </c>
      <c r="B18" s="67">
        <f>B17*(1+Parameter!$B$172*Parameter!$B$173)^3/((Parameter!$B$79*(1+$B$3*Parameter!$B$173)-Parameter!$B$4)/(Parameter!$B$79-Parameter!$B$4))</f>
        <v>0.85386680085693623</v>
      </c>
      <c r="C18" s="64" t="s">
        <v>87</v>
      </c>
      <c r="D18" s="64" t="s">
        <v>1159</v>
      </c>
    </row>
    <row r="19" spans="1:4" x14ac:dyDescent="0.3">
      <c r="A19" s="64" t="s">
        <v>1160</v>
      </c>
      <c r="B19" s="67">
        <f>(Parameter!$B$86-Parameter!$B$89)/Parameter!$B$86</f>
        <v>0.25</v>
      </c>
      <c r="C19" s="64" t="s">
        <v>87</v>
      </c>
      <c r="D19" s="64" t="s">
        <v>1161</v>
      </c>
    </row>
    <row r="20" spans="1:4" x14ac:dyDescent="0.3">
      <c r="A20" s="64" t="s">
        <v>1162</v>
      </c>
      <c r="B20" s="67">
        <f>PI()*Parameter!$B$86^2/4/(Parameter!$B$88*Parameter!$B$89)</f>
        <v>0.74799825085471272</v>
      </c>
      <c r="C20" s="64" t="s">
        <v>87</v>
      </c>
      <c r="D20" s="64" t="s">
        <v>1163</v>
      </c>
    </row>
    <row r="21" spans="1:4" x14ac:dyDescent="0.3">
      <c r="A21" s="64" t="s">
        <v>1164</v>
      </c>
      <c r="B21" s="67">
        <f>Parameter!$B$87/Parameter!$B$85-1</f>
        <v>1.2499999999999956E-2</v>
      </c>
      <c r="C21" s="64" t="s">
        <v>87</v>
      </c>
      <c r="D21" s="64" t="s">
        <v>1165</v>
      </c>
    </row>
    <row r="22" spans="1:4" x14ac:dyDescent="0.3">
      <c r="A22" s="64" t="s">
        <v>1166</v>
      </c>
      <c r="B22" s="67">
        <f>Parameter!$B$4/Parameter!$B$81-1</f>
        <v>8.1300813008129413E-3</v>
      </c>
      <c r="C22" s="64" t="s">
        <v>87</v>
      </c>
      <c r="D22" s="64" t="s">
        <v>1167</v>
      </c>
    </row>
    <row r="23" spans="1:4" x14ac:dyDescent="0.3">
      <c r="A23" s="64" t="s">
        <v>1168</v>
      </c>
      <c r="B23" s="67">
        <f>Parameter!$B$28/2*($B$5-$B$6)*$B$7</f>
        <v>4.1204999999999992E-2</v>
      </c>
      <c r="C23" s="64" t="s">
        <v>7</v>
      </c>
      <c r="D23" s="64" t="s">
        <v>1169</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9"/>
  <sheetViews>
    <sheetView zoomScaleNormal="100" workbookViewId="0"/>
  </sheetViews>
  <sheetFormatPr baseColWidth="10" defaultColWidth="8.6640625" defaultRowHeight="14.4" x14ac:dyDescent="0.3"/>
  <cols>
    <col min="1" max="1" width="38" customWidth="1"/>
    <col min="2" max="2" width="10" customWidth="1"/>
    <col min="3" max="3" width="8" customWidth="1"/>
    <col min="4" max="6" width="9" customWidth="1"/>
    <col min="7" max="7" width="70" customWidth="1"/>
  </cols>
  <sheetData>
    <row r="1" spans="1:7" x14ac:dyDescent="0.3">
      <c r="A1" s="2" t="s">
        <v>1170</v>
      </c>
    </row>
    <row r="3" spans="1:7" x14ac:dyDescent="0.3">
      <c r="A3" s="1" t="s">
        <v>1171</v>
      </c>
      <c r="B3" s="1" t="s">
        <v>1</v>
      </c>
      <c r="C3" s="1" t="s">
        <v>2</v>
      </c>
      <c r="D3" s="1" t="s">
        <v>1172</v>
      </c>
      <c r="E3" s="1" t="s">
        <v>1173</v>
      </c>
      <c r="F3" s="1" t="s">
        <v>1174</v>
      </c>
      <c r="G3" s="1" t="s">
        <v>1175</v>
      </c>
    </row>
    <row r="4" spans="1:7" x14ac:dyDescent="0.3">
      <c r="A4" s="64" t="s">
        <v>1176</v>
      </c>
      <c r="B4" s="67">
        <f>Parameter!$B$129</f>
        <v>0.29999999999999893</v>
      </c>
      <c r="C4" s="64" t="s">
        <v>7</v>
      </c>
      <c r="D4" s="64">
        <v>0.15</v>
      </c>
      <c r="E4" s="64">
        <v>0.5</v>
      </c>
      <c r="F4" s="2" t="str">
        <f t="shared" ref="F4:F35" si="0">IF(AND(B4&gt;=D4,B4&lt;=E4),"ok","PRÜFEN")</f>
        <v>ok</v>
      </c>
      <c r="G4" s="64" t="s">
        <v>1177</v>
      </c>
    </row>
    <row r="5" spans="1:7" x14ac:dyDescent="0.3">
      <c r="A5" s="64" t="s">
        <v>1178</v>
      </c>
      <c r="B5" s="67">
        <f>Parameter!$B$129-0.12</f>
        <v>0.17999999999999894</v>
      </c>
      <c r="C5" s="64" t="s">
        <v>7</v>
      </c>
      <c r="D5" s="64">
        <v>0.05</v>
      </c>
      <c r="E5" s="64">
        <v>0.5</v>
      </c>
      <c r="F5" s="2" t="str">
        <f t="shared" si="0"/>
        <v>ok</v>
      </c>
      <c r="G5" s="64" t="s">
        <v>1179</v>
      </c>
    </row>
    <row r="6" spans="1:7" x14ac:dyDescent="0.3">
      <c r="A6" s="64" t="s">
        <v>1180</v>
      </c>
      <c r="B6" s="67">
        <f>Parameter!$B$84</f>
        <v>0.2264150943396237</v>
      </c>
      <c r="C6" s="64" t="s">
        <v>87</v>
      </c>
      <c r="D6" s="64">
        <v>0.15</v>
      </c>
      <c r="E6" s="64">
        <v>0.25</v>
      </c>
      <c r="F6" s="2" t="str">
        <f t="shared" si="0"/>
        <v>ok</v>
      </c>
      <c r="G6" s="64" t="s">
        <v>1181</v>
      </c>
    </row>
    <row r="7" spans="1:7" x14ac:dyDescent="0.3">
      <c r="A7" s="64" t="s">
        <v>1182</v>
      </c>
      <c r="B7" s="67">
        <f>(Parameter!$B$82-((Parameter!$B$79-Parameter!$B$4)/2+Parameter!$B$142))/Parameter!$B$82</f>
        <v>0.18867924528301988</v>
      </c>
      <c r="C7" s="64" t="s">
        <v>87</v>
      </c>
      <c r="D7" s="64">
        <v>0.12</v>
      </c>
      <c r="E7" s="64">
        <v>0.3</v>
      </c>
      <c r="F7" s="2" t="str">
        <f t="shared" si="0"/>
        <v>ok</v>
      </c>
      <c r="G7" s="64" t="s">
        <v>1183</v>
      </c>
    </row>
    <row r="8" spans="1:7" x14ac:dyDescent="0.3">
      <c r="A8" s="64" t="s">
        <v>1184</v>
      </c>
      <c r="B8" s="67">
        <f>(Parameter!$B$82-((Parameter!$B$79-Parameter!$B$4)/2-Parameter!$B$142))/Parameter!$B$82</f>
        <v>0.26415094339622752</v>
      </c>
      <c r="C8" s="64" t="s">
        <v>87</v>
      </c>
      <c r="D8" s="64">
        <v>0.12</v>
      </c>
      <c r="E8" s="64">
        <v>0.3</v>
      </c>
      <c r="F8" s="2" t="str">
        <f t="shared" si="0"/>
        <v>ok</v>
      </c>
      <c r="G8" s="64" t="s">
        <v>1185</v>
      </c>
    </row>
    <row r="9" spans="1:7" x14ac:dyDescent="0.3">
      <c r="A9" s="64" t="s">
        <v>1186</v>
      </c>
      <c r="B9" s="67">
        <f>Parameter!$B$143-Parameter!$B$142</f>
        <v>0.19999999999999998</v>
      </c>
      <c r="C9" s="64" t="s">
        <v>7</v>
      </c>
      <c r="D9" s="64">
        <v>0.1</v>
      </c>
      <c r="E9" s="64">
        <v>1</v>
      </c>
      <c r="F9" s="2" t="str">
        <f t="shared" si="0"/>
        <v>ok</v>
      </c>
      <c r="G9" s="64" t="s">
        <v>1187</v>
      </c>
    </row>
    <row r="10" spans="1:7" x14ac:dyDescent="0.3">
      <c r="A10" s="64" t="s">
        <v>1188</v>
      </c>
      <c r="B10" s="67">
        <f>Auslegung!$B$16</f>
        <v>0.22648915535179198</v>
      </c>
      <c r="C10" s="64" t="s">
        <v>87</v>
      </c>
      <c r="D10" s="64">
        <v>0.12</v>
      </c>
      <c r="E10" s="64">
        <v>0.3</v>
      </c>
      <c r="F10" s="2" t="str">
        <f t="shared" si="0"/>
        <v>ok</v>
      </c>
      <c r="G10" s="64" t="s">
        <v>1189</v>
      </c>
    </row>
    <row r="11" spans="1:7" x14ac:dyDescent="0.3">
      <c r="A11" s="64" t="s">
        <v>1190</v>
      </c>
      <c r="B11" s="67">
        <f>Auslegung!$B$17</f>
        <v>0.74735211415428016</v>
      </c>
      <c r="C11" s="64" t="s">
        <v>87</v>
      </c>
      <c r="D11" s="64">
        <v>0.6</v>
      </c>
      <c r="E11" s="64">
        <v>0.85</v>
      </c>
      <c r="F11" s="2" t="str">
        <f t="shared" si="0"/>
        <v>ok</v>
      </c>
      <c r="G11" s="64" t="s">
        <v>1191</v>
      </c>
    </row>
    <row r="12" spans="1:7" x14ac:dyDescent="0.3">
      <c r="A12" s="64" t="s">
        <v>1192</v>
      </c>
      <c r="B12" s="67">
        <f>Auslegung!$B$18</f>
        <v>0.85386680085693623</v>
      </c>
      <c r="C12" s="64" t="s">
        <v>87</v>
      </c>
      <c r="D12" s="64">
        <v>0.6</v>
      </c>
      <c r="E12" s="64">
        <v>0.9</v>
      </c>
      <c r="F12" s="2" t="str">
        <f t="shared" si="0"/>
        <v>ok</v>
      </c>
      <c r="G12" s="64" t="s">
        <v>1193</v>
      </c>
    </row>
    <row r="13" spans="1:7" x14ac:dyDescent="0.3">
      <c r="A13" s="64" t="s">
        <v>1194</v>
      </c>
      <c r="B13" s="67">
        <f>Parameter!$B$131-(Parameter!$B$8+Parameter!$B$5)</f>
        <v>3.7</v>
      </c>
      <c r="C13" s="64" t="s">
        <v>7</v>
      </c>
      <c r="D13" s="64">
        <v>0.3</v>
      </c>
      <c r="E13" s="64">
        <v>20</v>
      </c>
      <c r="F13" s="2" t="str">
        <f t="shared" si="0"/>
        <v>ok</v>
      </c>
      <c r="G13" s="64" t="s">
        <v>1195</v>
      </c>
    </row>
    <row r="14" spans="1:7" x14ac:dyDescent="0.3">
      <c r="A14" s="64" t="s">
        <v>1196</v>
      </c>
      <c r="B14" s="67">
        <f>(Parameter!$B$8+Parameter!$B$6)-Parameter!$B$132</f>
        <v>1.3999999999999986</v>
      </c>
      <c r="C14" s="64" t="s">
        <v>7</v>
      </c>
      <c r="D14" s="64">
        <v>0.3</v>
      </c>
      <c r="E14" s="64">
        <v>20</v>
      </c>
      <c r="F14" s="2" t="str">
        <f t="shared" si="0"/>
        <v>ok</v>
      </c>
      <c r="G14" s="64" t="s">
        <v>1197</v>
      </c>
    </row>
    <row r="15" spans="1:7" x14ac:dyDescent="0.3">
      <c r="A15" s="64" t="s">
        <v>1198</v>
      </c>
      <c r="B15" s="67">
        <f>Parameter!$B$73-Parameter!$B$74-Parameter!$B$75</f>
        <v>0.69999999999999973</v>
      </c>
      <c r="C15" s="64" t="s">
        <v>7</v>
      </c>
      <c r="D15" s="64">
        <v>0.5</v>
      </c>
      <c r="E15" s="64">
        <v>5</v>
      </c>
      <c r="F15" s="2" t="str">
        <f t="shared" si="0"/>
        <v>ok</v>
      </c>
      <c r="G15" s="64" t="s">
        <v>1199</v>
      </c>
    </row>
    <row r="16" spans="1:7" x14ac:dyDescent="0.3">
      <c r="A16" s="64" t="s">
        <v>1200</v>
      </c>
      <c r="B16" s="67">
        <f>Parameter!$B$74-Parameter!$B$89</f>
        <v>0.44999999999999996</v>
      </c>
      <c r="C16" s="64" t="s">
        <v>7</v>
      </c>
      <c r="D16" s="64">
        <v>0.3</v>
      </c>
      <c r="E16" s="64">
        <v>5</v>
      </c>
      <c r="F16" s="2" t="str">
        <f t="shared" si="0"/>
        <v>ok</v>
      </c>
      <c r="G16" s="64" t="s">
        <v>1201</v>
      </c>
    </row>
    <row r="17" spans="1:7" x14ac:dyDescent="0.3">
      <c r="A17" s="64" t="s">
        <v>1161</v>
      </c>
      <c r="B17" s="67">
        <f>Auslegung!$B$19</f>
        <v>0.25</v>
      </c>
      <c r="C17" s="64" t="s">
        <v>87</v>
      </c>
      <c r="D17" s="64">
        <v>0.2</v>
      </c>
      <c r="E17" s="64">
        <v>0.3</v>
      </c>
      <c r="F17" s="2" t="str">
        <f t="shared" si="0"/>
        <v>ok</v>
      </c>
      <c r="G17" s="64" t="s">
        <v>1202</v>
      </c>
    </row>
    <row r="18" spans="1:7" x14ac:dyDescent="0.3">
      <c r="A18" s="64" t="s">
        <v>1203</v>
      </c>
      <c r="B18" s="67">
        <f>Auslegung!$B$20</f>
        <v>0.74799825085471272</v>
      </c>
      <c r="C18" s="64" t="s">
        <v>87</v>
      </c>
      <c r="D18" s="64">
        <v>0.6</v>
      </c>
      <c r="E18" s="64">
        <v>0.85</v>
      </c>
      <c r="F18" s="2" t="str">
        <f t="shared" si="0"/>
        <v>ok</v>
      </c>
      <c r="G18" s="64"/>
    </row>
    <row r="19" spans="1:7" x14ac:dyDescent="0.3">
      <c r="A19" s="64" t="s">
        <v>1204</v>
      </c>
      <c r="B19" s="67">
        <f>Auslegung!$B$21</f>
        <v>1.2499999999999956E-2</v>
      </c>
      <c r="C19" s="64" t="s">
        <v>87</v>
      </c>
      <c r="D19" s="64">
        <v>0</v>
      </c>
      <c r="E19" s="64">
        <v>0.03</v>
      </c>
      <c r="F19" s="2" t="str">
        <f t="shared" si="0"/>
        <v>ok</v>
      </c>
      <c r="G19" s="64" t="s">
        <v>1205</v>
      </c>
    </row>
    <row r="20" spans="1:7" x14ac:dyDescent="0.3">
      <c r="A20" s="64" t="s">
        <v>1206</v>
      </c>
      <c r="B20" s="67">
        <f>(Parameter!$B$87-Parameter!$B$71)/2</f>
        <v>1.0999999999999979</v>
      </c>
      <c r="C20" s="64" t="s">
        <v>7</v>
      </c>
      <c r="D20" s="64">
        <v>0.3</v>
      </c>
      <c r="E20" s="64">
        <v>3</v>
      </c>
      <c r="F20" s="2" t="str">
        <f t="shared" si="0"/>
        <v>ok</v>
      </c>
      <c r="G20" s="64" t="s">
        <v>1207</v>
      </c>
    </row>
    <row r="21" spans="1:7" x14ac:dyDescent="0.3">
      <c r="A21" s="64" t="s">
        <v>1208</v>
      </c>
      <c r="B21" s="67">
        <f>(Parameter!$B$30-Parameter!$B$39)/2-Parameter!$B$90/2</f>
        <v>2.8500000000000014</v>
      </c>
      <c r="C21" s="64" t="s">
        <v>7</v>
      </c>
      <c r="D21" s="64">
        <v>0.3</v>
      </c>
      <c r="E21" s="64">
        <v>5</v>
      </c>
      <c r="F21" s="2" t="str">
        <f t="shared" si="0"/>
        <v>ok</v>
      </c>
      <c r="G21" s="64" t="s">
        <v>1209</v>
      </c>
    </row>
    <row r="22" spans="1:7" x14ac:dyDescent="0.3">
      <c r="A22" s="64" t="s">
        <v>1210</v>
      </c>
      <c r="B22" s="67">
        <f>(Parameter!$B$30-(Parameter!$B$40-2*(Parameter!$B$73-Parameter!$B$74-Parameter!$B$75)))/2-Parameter!$B$79/2</f>
        <v>2.9000000000000057</v>
      </c>
      <c r="C22" s="64" t="s">
        <v>7</v>
      </c>
      <c r="D22" s="64">
        <v>0.3</v>
      </c>
      <c r="E22" s="64">
        <v>5</v>
      </c>
      <c r="F22" s="2" t="str">
        <f t="shared" si="0"/>
        <v>ok</v>
      </c>
      <c r="G22" s="64" t="s">
        <v>1211</v>
      </c>
    </row>
    <row r="23" spans="1:7" x14ac:dyDescent="0.3">
      <c r="A23" s="64" t="s">
        <v>1212</v>
      </c>
      <c r="B23" s="67">
        <f>(Parameter!$B$37-2)/2-Parameter!$B$38</f>
        <v>0</v>
      </c>
      <c r="C23" s="64" t="s">
        <v>7</v>
      </c>
      <c r="D23" s="64">
        <v>0</v>
      </c>
      <c r="E23" s="64">
        <v>0.1</v>
      </c>
      <c r="F23" s="2" t="str">
        <f t="shared" si="0"/>
        <v>ok</v>
      </c>
      <c r="G23" s="64" t="s">
        <v>1213</v>
      </c>
    </row>
    <row r="24" spans="1:7" x14ac:dyDescent="0.3">
      <c r="A24" s="64" t="s">
        <v>1214</v>
      </c>
      <c r="B24" s="67">
        <f>(Parameter!$B$40-2.5)/2-Parameter!$B$41</f>
        <v>0</v>
      </c>
      <c r="C24" s="64" t="s">
        <v>7</v>
      </c>
      <c r="D24" s="64">
        <v>0</v>
      </c>
      <c r="E24" s="64">
        <v>0.1</v>
      </c>
      <c r="F24" s="2" t="str">
        <f t="shared" si="0"/>
        <v>ok</v>
      </c>
      <c r="G24" s="64" t="s">
        <v>1215</v>
      </c>
    </row>
    <row r="25" spans="1:7" x14ac:dyDescent="0.3">
      <c r="A25" s="64" t="s">
        <v>1216</v>
      </c>
      <c r="B25" s="67">
        <f>(Parameter!$B$28-Parameter!$B$48-Parameter!$B$59)/2</f>
        <v>1.3500000000000014</v>
      </c>
      <c r="C25" s="64" t="s">
        <v>7</v>
      </c>
      <c r="D25" s="64">
        <v>0.8</v>
      </c>
      <c r="E25" s="64">
        <v>5</v>
      </c>
      <c r="F25" s="2" t="str">
        <f t="shared" si="0"/>
        <v>ok</v>
      </c>
      <c r="G25" s="64" t="s">
        <v>1217</v>
      </c>
    </row>
    <row r="26" spans="1:7" x14ac:dyDescent="0.3">
      <c r="A26" s="64" t="s">
        <v>1218</v>
      </c>
      <c r="B26" s="67">
        <f>(Parameter!$B$58-Parameter!$B$65)/2</f>
        <v>3.9500000000000028</v>
      </c>
      <c r="C26" s="64" t="s">
        <v>7</v>
      </c>
      <c r="D26" s="64">
        <v>1.5</v>
      </c>
      <c r="E26" s="64">
        <v>6</v>
      </c>
      <c r="F26" s="2" t="str">
        <f t="shared" si="0"/>
        <v>ok</v>
      </c>
      <c r="G26" s="64" t="s">
        <v>1219</v>
      </c>
    </row>
    <row r="27" spans="1:7" x14ac:dyDescent="0.3">
      <c r="A27" s="64" t="s">
        <v>1220</v>
      </c>
      <c r="B27" s="67">
        <f>Parameter!$B$60-Parameter!$B$69</f>
        <v>0.79999999999999982</v>
      </c>
      <c r="C27" s="64" t="s">
        <v>7</v>
      </c>
      <c r="D27" s="64">
        <v>0.7</v>
      </c>
      <c r="E27" s="64">
        <v>5</v>
      </c>
      <c r="F27" s="2" t="str">
        <f t="shared" si="0"/>
        <v>ok</v>
      </c>
      <c r="G27" s="64" t="s">
        <v>1221</v>
      </c>
    </row>
    <row r="28" spans="1:7" x14ac:dyDescent="0.3">
      <c r="A28" s="64" t="s">
        <v>1222</v>
      </c>
      <c r="B28" s="67">
        <f>(Parameter!$B$30-Parameter!$B$167-Parameter!$B$65)/2</f>
        <v>0.40000000000000568</v>
      </c>
      <c r="C28" s="64" t="s">
        <v>7</v>
      </c>
      <c r="D28" s="64">
        <v>0.3</v>
      </c>
      <c r="E28" s="64">
        <v>5</v>
      </c>
      <c r="F28" s="2" t="str">
        <f t="shared" si="0"/>
        <v>ok</v>
      </c>
      <c r="G28" s="64" t="s">
        <v>1223</v>
      </c>
    </row>
    <row r="29" spans="1:7" x14ac:dyDescent="0.3">
      <c r="A29" s="64" t="s">
        <v>1224</v>
      </c>
      <c r="B29" s="67">
        <f>(Parameter!$B$58-Parameter!$B$30-Parameter!$B$167)/2</f>
        <v>0.44999999999999996</v>
      </c>
      <c r="C29" s="64" t="s">
        <v>7</v>
      </c>
      <c r="D29" s="64">
        <v>0.3</v>
      </c>
      <c r="E29" s="64">
        <v>5</v>
      </c>
      <c r="F29" s="2" t="str">
        <f t="shared" si="0"/>
        <v>ok</v>
      </c>
      <c r="G29" s="64" t="s">
        <v>1225</v>
      </c>
    </row>
    <row r="30" spans="1:7" x14ac:dyDescent="0.3">
      <c r="A30" s="64" t="s">
        <v>1226</v>
      </c>
      <c r="B30" s="67">
        <f>MIN(MOD(Parameter!$B$23-Parameter!$B$24,360/Parameter!$B$33),360/Parameter!$B$33-MOD(Parameter!$B$23-Parameter!$B$24,360/Parameter!$B$33))</f>
        <v>20</v>
      </c>
      <c r="C30" s="64" t="s">
        <v>62</v>
      </c>
      <c r="D30" s="64">
        <v>10</v>
      </c>
      <c r="E30" s="64">
        <v>20</v>
      </c>
      <c r="F30" s="2" t="str">
        <f t="shared" si="0"/>
        <v>ok</v>
      </c>
      <c r="G30" s="64" t="s">
        <v>1227</v>
      </c>
    </row>
    <row r="31" spans="1:7" x14ac:dyDescent="0.3">
      <c r="A31" s="64" t="s">
        <v>1228</v>
      </c>
      <c r="B31" s="67">
        <f>(Parameter!$B$9-Parameter!$B$28-Parameter!$B$12)/2</f>
        <v>1</v>
      </c>
      <c r="C31" s="64" t="s">
        <v>7</v>
      </c>
      <c r="D31" s="64">
        <v>0.5</v>
      </c>
      <c r="E31" s="64">
        <v>5</v>
      </c>
      <c r="F31" s="2" t="str">
        <f t="shared" si="0"/>
        <v>ok</v>
      </c>
      <c r="G31" s="64"/>
    </row>
    <row r="32" spans="1:7" x14ac:dyDescent="0.3">
      <c r="A32" s="64" t="s">
        <v>1229</v>
      </c>
      <c r="B32" s="67">
        <f>Parameter!$B$2-Parameter!$B$10</f>
        <v>6</v>
      </c>
      <c r="C32" s="64" t="s">
        <v>7</v>
      </c>
      <c r="D32" s="64">
        <v>2</v>
      </c>
      <c r="E32" s="64">
        <v>40</v>
      </c>
      <c r="F32" s="2" t="str">
        <f t="shared" si="0"/>
        <v>ok</v>
      </c>
      <c r="G32" s="64" t="s">
        <v>1230</v>
      </c>
    </row>
    <row r="33" spans="1:7" x14ac:dyDescent="0.3">
      <c r="A33" s="64" t="s">
        <v>1231</v>
      </c>
      <c r="B33" s="67">
        <f>Parameter!$B$15/2-(Parameter!$B$28+Parameter!$B$37)/2</f>
        <v>0.29999999999999716</v>
      </c>
      <c r="C33" s="64" t="s">
        <v>7</v>
      </c>
      <c r="D33" s="64">
        <v>0.2</v>
      </c>
      <c r="E33" s="64">
        <v>5</v>
      </c>
      <c r="F33" s="2" t="str">
        <f t="shared" si="0"/>
        <v>ok</v>
      </c>
      <c r="G33" s="64"/>
    </row>
    <row r="34" spans="1:7" x14ac:dyDescent="0.3">
      <c r="A34" s="64" t="s">
        <v>1232</v>
      </c>
      <c r="B34" s="67">
        <f>Parameter!$B$13-Parameter!$B$38</f>
        <v>0.30000000000000004</v>
      </c>
      <c r="C34" s="64" t="s">
        <v>7</v>
      </c>
      <c r="D34" s="64">
        <v>0.2</v>
      </c>
      <c r="E34" s="64">
        <v>2</v>
      </c>
      <c r="F34" s="2" t="str">
        <f t="shared" si="0"/>
        <v>ok</v>
      </c>
      <c r="G34" s="64" t="s">
        <v>1233</v>
      </c>
    </row>
    <row r="35" spans="1:7" x14ac:dyDescent="0.3">
      <c r="A35" s="64" t="s">
        <v>1234</v>
      </c>
      <c r="B35" s="67">
        <f>Parameter!$B$53-Parameter!$B$13-Parameter!$B$8</f>
        <v>2</v>
      </c>
      <c r="C35" s="64" t="s">
        <v>7</v>
      </c>
      <c r="D35" s="64">
        <v>1.5</v>
      </c>
      <c r="E35" s="64">
        <v>99</v>
      </c>
      <c r="F35" s="2" t="str">
        <f t="shared" si="0"/>
        <v>ok</v>
      </c>
      <c r="G35" s="64" t="s">
        <v>1235</v>
      </c>
    </row>
    <row r="36" spans="1:7" x14ac:dyDescent="0.3">
      <c r="A36" s="64" t="s">
        <v>1236</v>
      </c>
      <c r="B36" s="67">
        <f>Parameter!$B$69-(Parameter!$B$53-Parameter!$B$13-Parameter!$B$8)</f>
        <v>1.2000000000000002</v>
      </c>
      <c r="C36" s="64" t="s">
        <v>7</v>
      </c>
      <c r="D36" s="64">
        <v>0.2</v>
      </c>
      <c r="E36" s="64">
        <v>5</v>
      </c>
      <c r="F36" s="2" t="str">
        <f t="shared" ref="F36:F67" si="1">IF(AND(B36&gt;=D36,B36&lt;=E36),"ok","PRÜFEN")</f>
        <v>ok</v>
      </c>
      <c r="G36" s="64" t="s">
        <v>1237</v>
      </c>
    </row>
    <row r="37" spans="1:7" x14ac:dyDescent="0.3">
      <c r="A37" s="64" t="s">
        <v>1238</v>
      </c>
      <c r="B37" s="67">
        <f>Parameter!$B$54-Parameter!$B$73</f>
        <v>4.5</v>
      </c>
      <c r="C37" s="64" t="s">
        <v>7</v>
      </c>
      <c r="D37" s="64">
        <v>1.9</v>
      </c>
      <c r="E37" s="64">
        <v>99</v>
      </c>
      <c r="F37" s="2" t="str">
        <f t="shared" si="1"/>
        <v>ok</v>
      </c>
      <c r="G37" s="64"/>
    </row>
    <row r="38" spans="1:7" x14ac:dyDescent="0.3">
      <c r="A38" s="64" t="s">
        <v>1239</v>
      </c>
      <c r="B38" s="67">
        <f>Parameter!$B$70-(Parameter!$B$54-Parameter!$B$73)</f>
        <v>1.5</v>
      </c>
      <c r="C38" s="64" t="s">
        <v>7</v>
      </c>
      <c r="D38" s="64">
        <v>0.2</v>
      </c>
      <c r="E38" s="64">
        <v>5</v>
      </c>
      <c r="F38" s="2" t="str">
        <f t="shared" si="1"/>
        <v>ok</v>
      </c>
      <c r="G38" s="64" t="s">
        <v>1240</v>
      </c>
    </row>
    <row r="39" spans="1:7" x14ac:dyDescent="0.3">
      <c r="A39" s="64" t="s">
        <v>1241</v>
      </c>
      <c r="B39" s="67">
        <f>MIN(Parameter!$B$54-Parameter!$B$73,Parameter!$B$51)/2.5</f>
        <v>1.8</v>
      </c>
      <c r="C39" s="64" t="s">
        <v>87</v>
      </c>
      <c r="D39" s="64">
        <v>1</v>
      </c>
      <c r="E39" s="64">
        <v>3</v>
      </c>
      <c r="F39" s="2" t="str">
        <f t="shared" si="1"/>
        <v>ok</v>
      </c>
      <c r="G39" s="64" t="s">
        <v>1242</v>
      </c>
    </row>
    <row r="40" spans="1:7" x14ac:dyDescent="0.3">
      <c r="A40" s="64" t="s">
        <v>1243</v>
      </c>
      <c r="B40" s="67">
        <f>Parameter!$B$55-Parameter!$B$111-Parameter!$B$112</f>
        <v>3.9000000000000012</v>
      </c>
      <c r="C40" s="64" t="s">
        <v>7</v>
      </c>
      <c r="D40" s="64">
        <v>3</v>
      </c>
      <c r="E40" s="64">
        <v>99</v>
      </c>
      <c r="F40" s="2" t="str">
        <f t="shared" si="1"/>
        <v>ok</v>
      </c>
      <c r="G40" s="64" t="s">
        <v>1244</v>
      </c>
    </row>
    <row r="41" spans="1:7" x14ac:dyDescent="0.3">
      <c r="A41" s="64" t="s">
        <v>1245</v>
      </c>
      <c r="B41" s="67">
        <f>Parameter!$B$73-(Parameter!$B$55-Parameter!$B$111-Parameter!$B$112)</f>
        <v>1.5999999999999988</v>
      </c>
      <c r="C41" s="64" t="s">
        <v>7</v>
      </c>
      <c r="D41" s="64">
        <v>0.3</v>
      </c>
      <c r="E41" s="64">
        <v>99</v>
      </c>
      <c r="F41" s="2" t="str">
        <f t="shared" si="1"/>
        <v>ok</v>
      </c>
      <c r="G41" s="64" t="s">
        <v>1246</v>
      </c>
    </row>
    <row r="42" spans="1:7" x14ac:dyDescent="0.3">
      <c r="A42" s="64" t="s">
        <v>1247</v>
      </c>
      <c r="B42" s="67">
        <f>Parameter!$B$56-Parameter!$B$73</f>
        <v>4.5</v>
      </c>
      <c r="C42" s="64" t="s">
        <v>7</v>
      </c>
      <c r="D42" s="64">
        <v>3</v>
      </c>
      <c r="E42" s="64">
        <v>99</v>
      </c>
      <c r="F42" s="2" t="str">
        <f t="shared" si="1"/>
        <v>ok</v>
      </c>
      <c r="G42" s="64"/>
    </row>
    <row r="43" spans="1:7" x14ac:dyDescent="0.3">
      <c r="A43" s="64" t="s">
        <v>1248</v>
      </c>
      <c r="B43" s="67">
        <f>Parameter!$B$123-(Parameter!$B$56-Parameter!$B$73)</f>
        <v>1.5499999999999998</v>
      </c>
      <c r="C43" s="64" t="s">
        <v>7</v>
      </c>
      <c r="D43" s="64">
        <v>0.2</v>
      </c>
      <c r="E43" s="64">
        <v>99</v>
      </c>
      <c r="F43" s="2" t="str">
        <f t="shared" si="1"/>
        <v>ok</v>
      </c>
      <c r="G43" s="64" t="s">
        <v>1249</v>
      </c>
    </row>
    <row r="44" spans="1:7" x14ac:dyDescent="0.3">
      <c r="A44" s="64" t="s">
        <v>1250</v>
      </c>
      <c r="B44" s="67">
        <f>(Parameter!$B$34-Parameter!$B$48-Parameter!$B$122)/2</f>
        <v>0.95000000000000284</v>
      </c>
      <c r="C44" s="64" t="s">
        <v>7</v>
      </c>
      <c r="D44" s="64">
        <v>0.8</v>
      </c>
      <c r="E44" s="64">
        <v>5</v>
      </c>
      <c r="F44" s="2" t="str">
        <f t="shared" si="1"/>
        <v>ok</v>
      </c>
      <c r="G44" s="64"/>
    </row>
    <row r="45" spans="1:7" x14ac:dyDescent="0.3">
      <c r="A45" s="64" t="s">
        <v>1251</v>
      </c>
      <c r="B45" s="67">
        <f>Parameter!$B$72/2-(Parameter!$B$34+Parameter!$B$42)/2</f>
        <v>0.10000000000000142</v>
      </c>
      <c r="C45" s="64" t="s">
        <v>7</v>
      </c>
      <c r="D45" s="64">
        <v>0.1</v>
      </c>
      <c r="E45" s="64">
        <v>5</v>
      </c>
      <c r="F45" s="2" t="str">
        <f t="shared" si="1"/>
        <v>ok</v>
      </c>
      <c r="G45" s="64" t="s">
        <v>1252</v>
      </c>
    </row>
    <row r="46" spans="1:7" x14ac:dyDescent="0.3">
      <c r="A46" s="64" t="s">
        <v>1253</v>
      </c>
      <c r="B46" s="67">
        <f>(Parameter!$B$91-Parameter!$B$32-Parameter!$B$97)/2</f>
        <v>1.4000000000000004</v>
      </c>
      <c r="C46" s="64" t="s">
        <v>7</v>
      </c>
      <c r="D46" s="64">
        <v>0.8</v>
      </c>
      <c r="E46" s="64">
        <v>5</v>
      </c>
      <c r="F46" s="2" t="str">
        <f t="shared" si="1"/>
        <v>ok</v>
      </c>
      <c r="G46" s="64"/>
    </row>
    <row r="47" spans="1:7" x14ac:dyDescent="0.3">
      <c r="A47" s="64" t="s">
        <v>1254</v>
      </c>
      <c r="B47" s="67">
        <f>(Parameter!$B$32-Parameter!$B$97-Parameter!$B$94)/2</f>
        <v>2.7999999999999972</v>
      </c>
      <c r="C47" s="64" t="s">
        <v>7</v>
      </c>
      <c r="D47" s="64">
        <v>0.5</v>
      </c>
      <c r="E47" s="64">
        <v>5</v>
      </c>
      <c r="F47" s="2" t="str">
        <f t="shared" si="1"/>
        <v>ok</v>
      </c>
      <c r="G47" s="64" t="s">
        <v>1255</v>
      </c>
    </row>
    <row r="48" spans="1:7" x14ac:dyDescent="0.3">
      <c r="A48" s="64" t="s">
        <v>1256</v>
      </c>
      <c r="B48" s="67">
        <f>Parameter!$B$108-Parameter!$B$109</f>
        <v>1.5</v>
      </c>
      <c r="C48" s="64" t="s">
        <v>7</v>
      </c>
      <c r="D48" s="64">
        <v>0.8</v>
      </c>
      <c r="E48" s="64">
        <v>5</v>
      </c>
      <c r="F48" s="2" t="str">
        <f t="shared" si="1"/>
        <v>ok</v>
      </c>
      <c r="G48" s="64"/>
    </row>
    <row r="49" spans="1:7" x14ac:dyDescent="0.3">
      <c r="A49" s="64" t="s">
        <v>1257</v>
      </c>
      <c r="B49" s="67">
        <f>Auslegung!$B$13</f>
        <v>108</v>
      </c>
      <c r="C49" s="64" t="s">
        <v>1145</v>
      </c>
      <c r="D49" s="64">
        <v>60</v>
      </c>
      <c r="E49" s="64">
        <v>200</v>
      </c>
      <c r="F49" s="2" t="str">
        <f t="shared" si="1"/>
        <v>ok</v>
      </c>
      <c r="G49" s="64" t="s">
        <v>1258</v>
      </c>
    </row>
    <row r="50" spans="1:7" x14ac:dyDescent="0.3">
      <c r="A50" s="64" t="s">
        <v>1259</v>
      </c>
      <c r="B50" s="67">
        <f>Parameter!$B$109-Parameter!$B$129-Parameter!$B$171</f>
        <v>0.30000000000000071</v>
      </c>
      <c r="C50" s="64" t="s">
        <v>7</v>
      </c>
      <c r="D50" s="64">
        <v>0.1</v>
      </c>
      <c r="E50" s="64">
        <v>5</v>
      </c>
      <c r="F50" s="2" t="str">
        <f t="shared" si="1"/>
        <v>ok</v>
      </c>
      <c r="G50" s="64" t="s">
        <v>1260</v>
      </c>
    </row>
    <row r="51" spans="1:7" x14ac:dyDescent="0.3">
      <c r="A51" s="64" t="s">
        <v>1261</v>
      </c>
      <c r="B51" s="67">
        <f>Parameter!$B$97-Parameter!$B$169</f>
        <v>0.19999999999999929</v>
      </c>
      <c r="C51" s="64" t="s">
        <v>7</v>
      </c>
      <c r="D51" s="64">
        <v>0.1</v>
      </c>
      <c r="E51" s="64">
        <v>1</v>
      </c>
      <c r="F51" s="2" t="str">
        <f t="shared" si="1"/>
        <v>ok</v>
      </c>
      <c r="G51" s="64"/>
    </row>
    <row r="52" spans="1:7" x14ac:dyDescent="0.3">
      <c r="A52" s="64" t="s">
        <v>1262</v>
      </c>
      <c r="B52" s="67">
        <f>Parameter!$B$170-Parameter!$B$104</f>
        <v>0.29999999999999982</v>
      </c>
      <c r="C52" s="64" t="s">
        <v>7</v>
      </c>
      <c r="D52" s="64">
        <v>0.1</v>
      </c>
      <c r="E52" s="64">
        <v>1</v>
      </c>
      <c r="F52" s="2" t="str">
        <f t="shared" si="1"/>
        <v>ok</v>
      </c>
      <c r="G52" s="64"/>
    </row>
    <row r="53" spans="1:7" x14ac:dyDescent="0.3">
      <c r="A53" s="64" t="s">
        <v>1263</v>
      </c>
      <c r="B53" s="67">
        <f>Parameter!$B$107-Parameter!$B$104</f>
        <v>0.29999999999999982</v>
      </c>
      <c r="C53" s="64" t="s">
        <v>7</v>
      </c>
      <c r="D53" s="64">
        <v>0.2</v>
      </c>
      <c r="E53" s="64">
        <v>1.5</v>
      </c>
      <c r="F53" s="2" t="str">
        <f t="shared" si="1"/>
        <v>ok</v>
      </c>
      <c r="G53" s="64"/>
    </row>
    <row r="54" spans="1:7" x14ac:dyDescent="0.3">
      <c r="A54" s="64" t="s">
        <v>1264</v>
      </c>
      <c r="B54" s="67">
        <f>Parameter!$B$97-Parameter!$B$106</f>
        <v>1.1999999999999993</v>
      </c>
      <c r="C54" s="64" t="s">
        <v>7</v>
      </c>
      <c r="D54" s="64">
        <v>0.4</v>
      </c>
      <c r="E54" s="64">
        <v>3</v>
      </c>
      <c r="F54" s="2" t="str">
        <f t="shared" si="1"/>
        <v>ok</v>
      </c>
      <c r="G54" s="64"/>
    </row>
    <row r="55" spans="1:7" x14ac:dyDescent="0.3">
      <c r="A55" s="64" t="s">
        <v>1265</v>
      </c>
      <c r="B55" s="67">
        <f>Parameter!$B$126+Parameter!$B$112+Parameter!$B$111+Parameter!$B$45-Parameter!$B$130</f>
        <v>1.8999999999999986</v>
      </c>
      <c r="C55" s="64" t="s">
        <v>7</v>
      </c>
      <c r="D55" s="64">
        <v>-1</v>
      </c>
      <c r="E55" s="64">
        <v>2.5</v>
      </c>
      <c r="F55" s="2" t="str">
        <f t="shared" si="1"/>
        <v>ok</v>
      </c>
      <c r="G55" s="64" t="s">
        <v>1266</v>
      </c>
    </row>
    <row r="56" spans="1:7" x14ac:dyDescent="0.3">
      <c r="A56" s="64" t="s">
        <v>1267</v>
      </c>
      <c r="B56" s="67">
        <f>Auslegung!$B$14</f>
        <v>0.8</v>
      </c>
      <c r="C56" s="64" t="s">
        <v>1145</v>
      </c>
      <c r="D56" s="64">
        <v>0</v>
      </c>
      <c r="E56" s="64">
        <v>3</v>
      </c>
      <c r="F56" s="2" t="str">
        <f t="shared" si="1"/>
        <v>ok</v>
      </c>
      <c r="G56" s="64"/>
    </row>
    <row r="57" spans="1:7" x14ac:dyDescent="0.3">
      <c r="A57" s="64" t="s">
        <v>1268</v>
      </c>
      <c r="B57" s="67">
        <f>-Parameter!$B$124</f>
        <v>1.5</v>
      </c>
      <c r="C57" s="64" t="s">
        <v>7</v>
      </c>
      <c r="D57" s="64">
        <v>0</v>
      </c>
      <c r="E57" s="64">
        <v>1.9</v>
      </c>
      <c r="F57" s="2" t="str">
        <f t="shared" si="1"/>
        <v>ok</v>
      </c>
      <c r="G57" s="64" t="s">
        <v>1269</v>
      </c>
    </row>
    <row r="58" spans="1:7" x14ac:dyDescent="0.3">
      <c r="A58" s="64" t="s">
        <v>1270</v>
      </c>
      <c r="B58" s="67">
        <f>Parameter!$B$124-Parameter!$B$133</f>
        <v>4.9999999999999822E-2</v>
      </c>
      <c r="C58" s="64" t="s">
        <v>7</v>
      </c>
      <c r="D58" s="64">
        <v>0</v>
      </c>
      <c r="E58" s="64">
        <v>0.2</v>
      </c>
      <c r="F58" s="2" t="str">
        <f t="shared" si="1"/>
        <v>ok</v>
      </c>
      <c r="G58" s="64" t="s">
        <v>1271</v>
      </c>
    </row>
    <row r="59" spans="1:7" x14ac:dyDescent="0.3">
      <c r="A59" s="64" t="s">
        <v>1272</v>
      </c>
      <c r="B59" s="67">
        <f>Auslegung!$B$23</f>
        <v>4.1204999999999992E-2</v>
      </c>
      <c r="C59" s="64" t="s">
        <v>7</v>
      </c>
      <c r="D59" s="64">
        <v>0</v>
      </c>
      <c r="E59" s="64">
        <v>0.5</v>
      </c>
      <c r="F59" s="2" t="str">
        <f t="shared" si="1"/>
        <v>ok</v>
      </c>
      <c r="G59" s="64" t="s">
        <v>1273</v>
      </c>
    </row>
    <row r="60" spans="1:7" x14ac:dyDescent="0.3">
      <c r="A60" s="64" t="s">
        <v>1274</v>
      </c>
      <c r="B60" s="67">
        <f>(Parameter!$B$12-2)/2</f>
        <v>0.5</v>
      </c>
      <c r="C60" s="64" t="s">
        <v>7</v>
      </c>
      <c r="D60" s="64">
        <v>0.1</v>
      </c>
      <c r="E60" s="64">
        <v>1</v>
      </c>
      <c r="F60" s="2" t="str">
        <f t="shared" si="1"/>
        <v>ok</v>
      </c>
      <c r="G60" s="64" t="s">
        <v>1275</v>
      </c>
    </row>
    <row r="61" spans="1:7" x14ac:dyDescent="0.3">
      <c r="A61" s="64" t="s">
        <v>1276</v>
      </c>
      <c r="B61" s="67">
        <f>Parameter!$B$17-Parameter!$B$19-Parameter!$B$134/2</f>
        <v>0.75</v>
      </c>
      <c r="C61" s="64" t="s">
        <v>7</v>
      </c>
      <c r="D61" s="64">
        <v>0.6</v>
      </c>
      <c r="E61" s="64">
        <v>5</v>
      </c>
      <c r="F61" s="2" t="str">
        <f t="shared" si="1"/>
        <v>ok</v>
      </c>
      <c r="G61" s="64" t="s">
        <v>1277</v>
      </c>
    </row>
    <row r="62" spans="1:7" x14ac:dyDescent="0.3">
      <c r="A62" s="64" t="s">
        <v>1278</v>
      </c>
      <c r="B62" s="67">
        <f>Parameter!$B$58/2-Parameter!$B$68</f>
        <v>0.79999999999999716</v>
      </c>
      <c r="C62" s="64" t="s">
        <v>7</v>
      </c>
      <c r="D62" s="64">
        <v>0.6</v>
      </c>
      <c r="E62" s="64">
        <v>5</v>
      </c>
      <c r="F62" s="2" t="str">
        <f t="shared" si="1"/>
        <v>ok</v>
      </c>
      <c r="G62" s="64" t="s">
        <v>1279</v>
      </c>
    </row>
    <row r="63" spans="1:7" x14ac:dyDescent="0.3">
      <c r="A63" s="64" t="s">
        <v>1280</v>
      </c>
      <c r="B63" s="67">
        <f>Parameter!$B$19-Parameter!$B$77/2-Parameter!$B$90/2</f>
        <v>0.55000000000000426</v>
      </c>
      <c r="C63" s="64" t="s">
        <v>7</v>
      </c>
      <c r="D63" s="64">
        <v>0.4</v>
      </c>
      <c r="E63" s="64">
        <v>5</v>
      </c>
      <c r="F63" s="2" t="str">
        <f t="shared" si="1"/>
        <v>ok</v>
      </c>
      <c r="G63" s="64" t="s">
        <v>1281</v>
      </c>
    </row>
    <row r="64" spans="1:7" x14ac:dyDescent="0.3">
      <c r="A64" s="64" t="s">
        <v>1282</v>
      </c>
      <c r="B64" s="67">
        <f>Parameter!$B$63-Parameter!$B$134</f>
        <v>0.5</v>
      </c>
      <c r="C64" s="64" t="s">
        <v>7</v>
      </c>
      <c r="D64" s="64">
        <v>0.2</v>
      </c>
      <c r="E64" s="64">
        <v>1</v>
      </c>
      <c r="F64" s="2" t="str">
        <f t="shared" si="1"/>
        <v>ok</v>
      </c>
      <c r="G64" s="64" t="s">
        <v>1283</v>
      </c>
    </row>
    <row r="65" spans="1:7" x14ac:dyDescent="0.3">
      <c r="A65" s="64" t="s">
        <v>1284</v>
      </c>
      <c r="B65" s="67">
        <f>Parameter!$B$114-Parameter!$B$134</f>
        <v>0.70000000000000018</v>
      </c>
      <c r="C65" s="64" t="s">
        <v>7</v>
      </c>
      <c r="D65" s="64">
        <v>0.2</v>
      </c>
      <c r="E65" s="64">
        <v>1.5</v>
      </c>
      <c r="F65" s="2" t="str">
        <f t="shared" si="1"/>
        <v>ok</v>
      </c>
      <c r="G65" s="64"/>
    </row>
    <row r="66" spans="1:7" x14ac:dyDescent="0.3">
      <c r="A66" s="64" t="s">
        <v>1285</v>
      </c>
      <c r="B66" s="67">
        <f>MIN(MOD(Parameter!$B$135,360/Parameter!$B$33),360/Parameter!$B$33-MOD(Parameter!$B$135,360/Parameter!$B$33))</f>
        <v>10</v>
      </c>
      <c r="C66" s="64" t="s">
        <v>62</v>
      </c>
      <c r="D66" s="64">
        <v>8</v>
      </c>
      <c r="E66" s="64">
        <v>20</v>
      </c>
      <c r="F66" s="2" t="str">
        <f t="shared" si="1"/>
        <v>ok</v>
      </c>
      <c r="G66" s="64" t="s">
        <v>1286</v>
      </c>
    </row>
    <row r="67" spans="1:7" x14ac:dyDescent="0.3">
      <c r="A67" s="64" t="s">
        <v>1287</v>
      </c>
      <c r="B67" s="67">
        <f>ABS(MOD(Parameter!$B$135,360/Parameter!$B$33)-180/Parameter!$B$33)</f>
        <v>10</v>
      </c>
      <c r="C67" s="64" t="s">
        <v>62</v>
      </c>
      <c r="D67" s="64">
        <v>8</v>
      </c>
      <c r="E67" s="64">
        <v>20</v>
      </c>
      <c r="F67" s="2" t="str">
        <f t="shared" si="1"/>
        <v>ok</v>
      </c>
      <c r="G67" s="64" t="s">
        <v>1288</v>
      </c>
    </row>
    <row r="68" spans="1:7" x14ac:dyDescent="0.3">
      <c r="A68" s="64" t="s">
        <v>1289</v>
      </c>
      <c r="B68" s="67">
        <f>Parameter!$B$73-Parameter!$B$80-3/2</f>
        <v>1.25</v>
      </c>
      <c r="C68" s="64" t="s">
        <v>7</v>
      </c>
      <c r="D68" s="64">
        <v>0.8</v>
      </c>
      <c r="E68" s="64">
        <v>5</v>
      </c>
      <c r="F68" s="2" t="str">
        <f t="shared" ref="F68:F99" si="2">IF(AND(B68&gt;=D68,B68&lt;=E68),"ok","PRÜFEN")</f>
        <v>ok</v>
      </c>
      <c r="G68" s="64" t="s">
        <v>1290</v>
      </c>
    </row>
    <row r="69" spans="1:7" x14ac:dyDescent="0.3">
      <c r="A69" s="64" t="s">
        <v>1291</v>
      </c>
      <c r="B69" s="67">
        <f>Parameter!$B$80-3/2</f>
        <v>1.25</v>
      </c>
      <c r="C69" s="64" t="s">
        <v>7</v>
      </c>
      <c r="D69" s="64">
        <v>0.8</v>
      </c>
      <c r="E69" s="64">
        <v>5</v>
      </c>
      <c r="F69" s="2" t="str">
        <f t="shared" si="2"/>
        <v>ok</v>
      </c>
      <c r="G69" s="64"/>
    </row>
    <row r="70" spans="1:7" x14ac:dyDescent="0.3">
      <c r="A70" s="64" t="s">
        <v>1292</v>
      </c>
      <c r="B70" s="67">
        <f>Parameter!$B$9/2-(Parameter!$B$19-Parameter!$B$141)</f>
        <v>0.5</v>
      </c>
      <c r="C70" s="64" t="s">
        <v>7</v>
      </c>
      <c r="D70" s="64">
        <v>0.05</v>
      </c>
      <c r="E70" s="64">
        <v>1.5</v>
      </c>
      <c r="F70" s="2" t="str">
        <f t="shared" si="2"/>
        <v>ok</v>
      </c>
      <c r="G70" s="64" t="s">
        <v>1293</v>
      </c>
    </row>
    <row r="71" spans="1:7" x14ac:dyDescent="0.3">
      <c r="A71" s="64" t="s">
        <v>1294</v>
      </c>
      <c r="B71" s="67">
        <f>Parameter!$B$72/2-Parameter!$B$139-Parameter!$B$79/2</f>
        <v>5.4500000000000028</v>
      </c>
      <c r="C71" s="64" t="s">
        <v>7</v>
      </c>
      <c r="D71" s="64">
        <v>2</v>
      </c>
      <c r="E71" s="64">
        <v>12</v>
      </c>
      <c r="F71" s="2" t="str">
        <f t="shared" si="2"/>
        <v>ok</v>
      </c>
      <c r="G71" s="64" t="s">
        <v>1295</v>
      </c>
    </row>
    <row r="72" spans="1:7" x14ac:dyDescent="0.3">
      <c r="A72" s="64" t="s">
        <v>1296</v>
      </c>
      <c r="B72" s="67">
        <f>Parameter!$B$92/2-Parameter!$B$176/2</f>
        <v>3.3000000000000007</v>
      </c>
      <c r="C72" s="64" t="s">
        <v>7</v>
      </c>
      <c r="D72" s="64">
        <v>0.3</v>
      </c>
      <c r="E72" s="64">
        <v>6</v>
      </c>
      <c r="F72" s="2" t="str">
        <f t="shared" si="2"/>
        <v>ok</v>
      </c>
      <c r="G72" s="64" t="s">
        <v>1297</v>
      </c>
    </row>
    <row r="73" spans="1:7" x14ac:dyDescent="0.3">
      <c r="A73" s="64" t="s">
        <v>1298</v>
      </c>
      <c r="B73" s="67">
        <f>(Parameter!$B$4-Parameter!$B$240-2*Parameter!$B$177)/2</f>
        <v>3.5</v>
      </c>
      <c r="C73" s="64" t="s">
        <v>7</v>
      </c>
      <c r="D73" s="64">
        <v>2</v>
      </c>
      <c r="E73" s="64">
        <v>5</v>
      </c>
      <c r="F73" s="2" t="str">
        <f t="shared" si="2"/>
        <v>ok</v>
      </c>
      <c r="G73" s="64" t="s">
        <v>1299</v>
      </c>
    </row>
    <row r="74" spans="1:7" x14ac:dyDescent="0.3">
      <c r="A74" s="64" t="s">
        <v>1300</v>
      </c>
      <c r="B74" s="67">
        <f>Parameter!$B$178</f>
        <v>1</v>
      </c>
      <c r="C74" s="64" t="s">
        <v>7</v>
      </c>
      <c r="D74" s="64">
        <v>0.5</v>
      </c>
      <c r="E74" s="64">
        <v>2</v>
      </c>
      <c r="F74" s="2" t="str">
        <f t="shared" si="2"/>
        <v>ok</v>
      </c>
      <c r="G74" s="64" t="s">
        <v>1301</v>
      </c>
    </row>
    <row r="75" spans="1:7" x14ac:dyDescent="0.3">
      <c r="A75" s="64" t="s">
        <v>1302</v>
      </c>
      <c r="B75" s="67">
        <f>(Parameter!$B$16-Parameter!$B$134)/2-Parameter!$B$178</f>
        <v>1.25</v>
      </c>
      <c r="C75" s="64" t="s">
        <v>7</v>
      </c>
      <c r="D75" s="64">
        <v>0.5</v>
      </c>
      <c r="E75" s="64">
        <v>3</v>
      </c>
      <c r="F75" s="2" t="str">
        <f t="shared" si="2"/>
        <v>ok</v>
      </c>
      <c r="G75" s="64" t="s">
        <v>1303</v>
      </c>
    </row>
    <row r="76" spans="1:7" x14ac:dyDescent="0.3">
      <c r="A76" s="64" t="s">
        <v>1304</v>
      </c>
      <c r="B76" s="67">
        <f>Parameter!$B$18</f>
        <v>1</v>
      </c>
      <c r="C76" s="64" t="s">
        <v>7</v>
      </c>
      <c r="D76" s="64">
        <v>1</v>
      </c>
      <c r="E76" s="64">
        <v>2</v>
      </c>
      <c r="F76" s="2" t="str">
        <f t="shared" si="2"/>
        <v>ok</v>
      </c>
      <c r="G76" s="64" t="s">
        <v>1305</v>
      </c>
    </row>
    <row r="77" spans="1:7" x14ac:dyDescent="0.3">
      <c r="A77" s="64" t="s">
        <v>1306</v>
      </c>
      <c r="B77" s="67">
        <f>(Parameter!$B$62+Parameter!$B$179-Parameter!$B$180*(2-SQRT(2)))/SQRT(2)</f>
        <v>0.78786796564403572</v>
      </c>
      <c r="C77" s="64" t="s">
        <v>7</v>
      </c>
      <c r="D77" s="64">
        <v>0.2</v>
      </c>
      <c r="E77" s="64">
        <v>3</v>
      </c>
      <c r="F77" s="2" t="str">
        <f t="shared" si="2"/>
        <v>ok</v>
      </c>
      <c r="G77" s="64" t="s">
        <v>1307</v>
      </c>
    </row>
    <row r="78" spans="1:7" x14ac:dyDescent="0.3">
      <c r="A78" s="64" t="s">
        <v>1308</v>
      </c>
      <c r="B78" s="67">
        <f>(Parameter!$B$146-Parameter!$B$90)/2</f>
        <v>2.7000000000000028</v>
      </c>
      <c r="C78" s="64" t="s">
        <v>7</v>
      </c>
      <c r="D78" s="64">
        <v>2</v>
      </c>
      <c r="E78" s="64">
        <v>5</v>
      </c>
      <c r="F78" s="2" t="str">
        <f t="shared" si="2"/>
        <v>ok</v>
      </c>
      <c r="G78" s="64" t="s">
        <v>1309</v>
      </c>
    </row>
    <row r="79" spans="1:7" x14ac:dyDescent="0.3">
      <c r="A79" s="64" t="s">
        <v>1310</v>
      </c>
      <c r="B79" s="67">
        <f>MIN(Parameter!$B$147/2,Parameter!$B$32/2+1.25)-MAX(Parameter!$B$146/2,Parameter!$B$32/2-1.25)</f>
        <v>1.75</v>
      </c>
      <c r="C79" s="64" t="s">
        <v>7</v>
      </c>
      <c r="D79" s="64">
        <v>0.3</v>
      </c>
      <c r="E79" s="64">
        <v>3</v>
      </c>
      <c r="F79" s="2" t="str">
        <f t="shared" si="2"/>
        <v>ok</v>
      </c>
      <c r="G79" s="64" t="s">
        <v>1311</v>
      </c>
    </row>
    <row r="80" spans="1:7" x14ac:dyDescent="0.3">
      <c r="A80" s="64" t="s">
        <v>1312</v>
      </c>
      <c r="B80" s="67">
        <f>(Parameter!$B$30+Parameter!$B$39-Parameter!$B$146)/2</f>
        <v>2.8500000000000014</v>
      </c>
      <c r="C80" s="64" t="s">
        <v>7</v>
      </c>
      <c r="D80" s="64">
        <v>0.3</v>
      </c>
      <c r="E80" s="64">
        <v>3</v>
      </c>
      <c r="F80" s="2" t="str">
        <f t="shared" si="2"/>
        <v>ok</v>
      </c>
      <c r="G80" s="64"/>
    </row>
    <row r="81" spans="1:7" x14ac:dyDescent="0.3">
      <c r="A81" s="64" t="s">
        <v>1313</v>
      </c>
      <c r="B81" s="67">
        <f>Parameter!$B$19+Parameter!$B$77/2-Parameter!$B$146/2</f>
        <v>3.1499999999999986</v>
      </c>
      <c r="C81" s="64" t="s">
        <v>7</v>
      </c>
      <c r="D81" s="64">
        <v>0.3</v>
      </c>
      <c r="E81" s="64">
        <v>6</v>
      </c>
      <c r="F81" s="2" t="str">
        <f t="shared" si="2"/>
        <v>ok</v>
      </c>
      <c r="G81" s="64"/>
    </row>
    <row r="82" spans="1:7" x14ac:dyDescent="0.3">
      <c r="A82" s="64" t="s">
        <v>1314</v>
      </c>
      <c r="B82" s="67">
        <f>(Parameter!$B$58-Parameter!$B$147)/2</f>
        <v>1.5</v>
      </c>
      <c r="C82" s="64" t="s">
        <v>7</v>
      </c>
      <c r="D82" s="64">
        <v>0.8</v>
      </c>
      <c r="E82" s="64">
        <v>5</v>
      </c>
      <c r="F82" s="2" t="str">
        <f t="shared" si="2"/>
        <v>ok</v>
      </c>
      <c r="G82" s="64" t="s">
        <v>1315</v>
      </c>
    </row>
    <row r="83" spans="1:7" x14ac:dyDescent="0.3">
      <c r="A83" s="64" t="s">
        <v>1316</v>
      </c>
      <c r="B83" s="67">
        <f>(Parameter!$B$147-Parameter!$B$144-Parameter!$B$154)/2</f>
        <v>0.5</v>
      </c>
      <c r="C83" s="64" t="s">
        <v>7</v>
      </c>
      <c r="D83" s="64">
        <v>0.2</v>
      </c>
      <c r="E83" s="64">
        <v>2</v>
      </c>
      <c r="F83" s="2" t="str">
        <f t="shared" si="2"/>
        <v>ok</v>
      </c>
      <c r="G83" s="64"/>
    </row>
    <row r="84" spans="1:7" x14ac:dyDescent="0.3">
      <c r="A84" s="64" t="s">
        <v>1317</v>
      </c>
      <c r="B84" s="67">
        <f>(Parameter!$B$144-Parameter!$B$154-Parameter!$B$65)/2</f>
        <v>0.95000000000000284</v>
      </c>
      <c r="C84" s="64" t="s">
        <v>7</v>
      </c>
      <c r="D84" s="64">
        <v>0.4</v>
      </c>
      <c r="E84" s="64">
        <v>3</v>
      </c>
      <c r="F84" s="2" t="str">
        <f t="shared" si="2"/>
        <v>ok</v>
      </c>
      <c r="G84" s="64" t="s">
        <v>1318</v>
      </c>
    </row>
    <row r="85" spans="1:7" x14ac:dyDescent="0.3">
      <c r="A85" s="64" t="s">
        <v>1319</v>
      </c>
      <c r="B85" s="67">
        <f>Parameter!$B$150-Parameter!$B$149/2-Parameter!$B$87/2</f>
        <v>0.35000000000000142</v>
      </c>
      <c r="C85" s="64" t="s">
        <v>7</v>
      </c>
      <c r="D85" s="64">
        <v>0.1</v>
      </c>
      <c r="E85" s="64">
        <v>1.4</v>
      </c>
      <c r="F85" s="2" t="str">
        <f t="shared" si="2"/>
        <v>ok</v>
      </c>
      <c r="G85" s="64" t="s">
        <v>1320</v>
      </c>
    </row>
    <row r="86" spans="1:7" x14ac:dyDescent="0.3">
      <c r="A86" s="64" t="s">
        <v>1321</v>
      </c>
      <c r="B86" s="67">
        <f>Parameter!$B$13-Parameter!$B$156-(Parameter!$B$37-Parameter!$B$36)/2</f>
        <v>0.19999999999999996</v>
      </c>
      <c r="C86" s="64" t="s">
        <v>7</v>
      </c>
      <c r="D86" s="64">
        <v>0.1</v>
      </c>
      <c r="E86" s="64">
        <v>1</v>
      </c>
      <c r="F86" s="2" t="str">
        <f t="shared" si="2"/>
        <v>ok</v>
      </c>
      <c r="G86" s="64" t="s">
        <v>1322</v>
      </c>
    </row>
    <row r="87" spans="1:7" x14ac:dyDescent="0.3">
      <c r="A87" s="64" t="s">
        <v>1323</v>
      </c>
      <c r="B87" s="67">
        <f>(Parameter!$B$160-Parameter!$B$113)/2</f>
        <v>0.5</v>
      </c>
      <c r="C87" s="64" t="s">
        <v>7</v>
      </c>
      <c r="D87" s="64">
        <v>0.3</v>
      </c>
      <c r="E87" s="64">
        <v>1.5</v>
      </c>
      <c r="F87" s="2" t="str">
        <f t="shared" si="2"/>
        <v>ok</v>
      </c>
      <c r="G87" s="64"/>
    </row>
    <row r="88" spans="1:7" x14ac:dyDescent="0.3">
      <c r="A88" s="64" t="s">
        <v>1324</v>
      </c>
      <c r="B88" s="67">
        <f>Parameter!$B$19-Parameter!$B$158/2-Parameter!$B$90/2</f>
        <v>2.4500000000000028</v>
      </c>
      <c r="C88" s="64" t="s">
        <v>7</v>
      </c>
      <c r="D88" s="64">
        <v>1</v>
      </c>
      <c r="E88" s="64">
        <v>6</v>
      </c>
      <c r="F88" s="2" t="str">
        <f t="shared" si="2"/>
        <v>ok</v>
      </c>
      <c r="G88" s="64" t="s">
        <v>1325</v>
      </c>
    </row>
    <row r="89" spans="1:7" x14ac:dyDescent="0.3">
      <c r="A89" s="64" t="s">
        <v>1326</v>
      </c>
      <c r="B89" s="67">
        <f>Parameter!$B$174+Parameter!$B$154/2-(Parameter!$B$72/2-Parameter!$B$139)</f>
        <v>0.20000000000000284</v>
      </c>
      <c r="C89" s="64" t="s">
        <v>7</v>
      </c>
      <c r="D89" s="64">
        <v>0.1</v>
      </c>
      <c r="E89" s="64">
        <v>1.5</v>
      </c>
      <c r="F89" s="2" t="str">
        <f t="shared" si="2"/>
        <v>ok</v>
      </c>
      <c r="G89" s="64" t="s">
        <v>1327</v>
      </c>
    </row>
    <row r="90" spans="1:7" x14ac:dyDescent="0.3">
      <c r="A90" s="64" t="s">
        <v>1328</v>
      </c>
      <c r="B90" s="67">
        <f>Parameter!$B$175-(Parameter!$B$80-1.25)</f>
        <v>1.5</v>
      </c>
      <c r="C90" s="64" t="s">
        <v>7</v>
      </c>
      <c r="D90" s="64">
        <v>0.8</v>
      </c>
      <c r="E90" s="64">
        <v>3</v>
      </c>
      <c r="F90" s="2" t="str">
        <f t="shared" si="2"/>
        <v>ok</v>
      </c>
      <c r="G90" s="64" t="s">
        <v>1329</v>
      </c>
    </row>
    <row r="91" spans="1:7" x14ac:dyDescent="0.3">
      <c r="A91" s="64" t="s">
        <v>1330</v>
      </c>
      <c r="B91" s="67">
        <f>Parameter!$B$147/2-(Parameter!$B$174-Parameter!$B$154/2)</f>
        <v>0.79999999999999716</v>
      </c>
      <c r="C91" s="64" t="s">
        <v>7</v>
      </c>
      <c r="D91" s="64">
        <v>0.3</v>
      </c>
      <c r="E91" s="64">
        <v>1</v>
      </c>
      <c r="F91" s="2" t="str">
        <f t="shared" si="2"/>
        <v>ok</v>
      </c>
      <c r="G91" s="64"/>
    </row>
    <row r="92" spans="1:7" x14ac:dyDescent="0.3">
      <c r="A92" s="64" t="s">
        <v>1331</v>
      </c>
      <c r="B92" s="67">
        <f>Parameter!$B$80-Parameter!$B$190/2</f>
        <v>1.1499999999999999</v>
      </c>
      <c r="C92" s="64" t="s">
        <v>7</v>
      </c>
      <c r="D92" s="64">
        <v>1</v>
      </c>
      <c r="E92" s="64">
        <v>5</v>
      </c>
      <c r="F92" s="2" t="str">
        <f t="shared" si="2"/>
        <v>ok</v>
      </c>
      <c r="G92" s="64" t="s">
        <v>1332</v>
      </c>
    </row>
    <row r="93" spans="1:7" x14ac:dyDescent="0.3">
      <c r="A93" s="64" t="s">
        <v>1333</v>
      </c>
      <c r="B93" s="67">
        <f>Parameter!$B$191-Parameter!$B$190/2</f>
        <v>2.4</v>
      </c>
      <c r="C93" s="64" t="s">
        <v>7</v>
      </c>
      <c r="D93" s="64">
        <v>1.5</v>
      </c>
      <c r="E93" s="64">
        <v>5</v>
      </c>
      <c r="F93" s="2" t="str">
        <f t="shared" si="2"/>
        <v>ok</v>
      </c>
      <c r="G93" s="64" t="s">
        <v>1075</v>
      </c>
    </row>
    <row r="94" spans="1:7" x14ac:dyDescent="0.3">
      <c r="A94" s="64" t="s">
        <v>1334</v>
      </c>
      <c r="B94" s="67">
        <f>Parameter!$B$191-1.5</f>
        <v>2.5</v>
      </c>
      <c r="C94" s="64" t="s">
        <v>7</v>
      </c>
      <c r="D94" s="64">
        <v>1</v>
      </c>
      <c r="E94" s="64">
        <v>5</v>
      </c>
      <c r="F94" s="2" t="str">
        <f t="shared" si="2"/>
        <v>ok</v>
      </c>
      <c r="G94" s="64" t="s">
        <v>1335</v>
      </c>
    </row>
    <row r="95" spans="1:7" x14ac:dyDescent="0.3">
      <c r="A95" s="64" t="s">
        <v>1336</v>
      </c>
      <c r="B95" s="67">
        <f>Parameter!$B$195-Parameter!$B$191-1.5</f>
        <v>1.5</v>
      </c>
      <c r="C95" s="64" t="s">
        <v>7</v>
      </c>
      <c r="D95" s="64">
        <v>1</v>
      </c>
      <c r="E95" s="64">
        <v>5</v>
      </c>
      <c r="F95" s="2" t="str">
        <f t="shared" si="2"/>
        <v>ok</v>
      </c>
      <c r="G95" s="64" t="s">
        <v>1075</v>
      </c>
    </row>
    <row r="96" spans="1:7" x14ac:dyDescent="0.3">
      <c r="A96" s="64" t="s">
        <v>1337</v>
      </c>
      <c r="B96" s="67">
        <f>Parameter!$B$194-Parameter!$B$181-Parameter!$B$111</f>
        <v>3.5</v>
      </c>
      <c r="C96" s="64" t="s">
        <v>7</v>
      </c>
      <c r="D96" s="64">
        <v>2.4</v>
      </c>
      <c r="E96" s="64">
        <v>99</v>
      </c>
      <c r="F96" s="2" t="str">
        <f t="shared" si="2"/>
        <v>ok</v>
      </c>
      <c r="G96" s="64" t="s">
        <v>1338</v>
      </c>
    </row>
    <row r="97" spans="1:7" x14ac:dyDescent="0.3">
      <c r="A97" s="64" t="s">
        <v>1339</v>
      </c>
      <c r="B97" s="67">
        <f>Parameter!$B$78-(Parameter!$B$194-Parameter!$B$181-Parameter!$B$111)</f>
        <v>0.5</v>
      </c>
      <c r="C97" s="64" t="s">
        <v>7</v>
      </c>
      <c r="D97" s="64">
        <v>0.3</v>
      </c>
      <c r="E97" s="64">
        <v>5</v>
      </c>
      <c r="F97" s="2" t="str">
        <f t="shared" si="2"/>
        <v>ok</v>
      </c>
      <c r="G97" s="64" t="s">
        <v>1340</v>
      </c>
    </row>
    <row r="98" spans="1:7" x14ac:dyDescent="0.3">
      <c r="A98" s="64" t="s">
        <v>1341</v>
      </c>
      <c r="B98" s="67">
        <f>(Parameter!$B$182-Parameter!$B$198)/2-(Parameter!$B$194-Parameter!$B$181-Parameter!$B$111)</f>
        <v>0.5</v>
      </c>
      <c r="C98" s="64" t="s">
        <v>7</v>
      </c>
      <c r="D98" s="64">
        <v>0</v>
      </c>
      <c r="E98" s="64">
        <v>5</v>
      </c>
      <c r="F98" s="2" t="str">
        <f t="shared" si="2"/>
        <v>ok</v>
      </c>
      <c r="G98" s="64" t="s">
        <v>1342</v>
      </c>
    </row>
    <row r="99" spans="1:7" x14ac:dyDescent="0.3">
      <c r="A99" s="64" t="s">
        <v>1343</v>
      </c>
      <c r="B99" s="67">
        <f>(Parameter!$B$182-Parameter!$B$91)/2</f>
        <v>0.5</v>
      </c>
      <c r="C99" s="64" t="s">
        <v>7</v>
      </c>
      <c r="D99" s="64">
        <v>0.3</v>
      </c>
      <c r="E99" s="64">
        <v>3</v>
      </c>
      <c r="F99" s="2" t="str">
        <f t="shared" si="2"/>
        <v>ok</v>
      </c>
      <c r="G99" s="64" t="s">
        <v>1075</v>
      </c>
    </row>
    <row r="100" spans="1:7" x14ac:dyDescent="0.3">
      <c r="A100" s="64" t="s">
        <v>1344</v>
      </c>
      <c r="B100" s="67">
        <f>Parameter!$B$182/2-Parameter!$B$19-Parameter!$B$209/2</f>
        <v>4</v>
      </c>
      <c r="C100" s="64" t="s">
        <v>7</v>
      </c>
      <c r="D100" s="64">
        <v>3</v>
      </c>
      <c r="E100" s="64">
        <v>20</v>
      </c>
      <c r="F100" s="2" t="str">
        <f t="shared" ref="F100:F131" si="3">IF(AND(B100&gt;=D100,B100&lt;=E100),"ok","PRÜFEN")</f>
        <v>ok</v>
      </c>
      <c r="G100" s="64" t="s">
        <v>1345</v>
      </c>
    </row>
    <row r="101" spans="1:7" x14ac:dyDescent="0.3">
      <c r="A101" s="64" t="s">
        <v>1346</v>
      </c>
      <c r="B101" s="67">
        <f>Parameter!$B$182/2*PI()*Parameter!$B$186/180</f>
        <v>0.76794487087750496</v>
      </c>
      <c r="C101" s="64" t="s">
        <v>7</v>
      </c>
      <c r="D101" s="64">
        <v>0.5</v>
      </c>
      <c r="E101" s="64">
        <v>2</v>
      </c>
      <c r="F101" s="2" t="str">
        <f t="shared" si="3"/>
        <v>ok</v>
      </c>
      <c r="G101" s="64" t="s">
        <v>1347</v>
      </c>
    </row>
    <row r="102" spans="1:7" x14ac:dyDescent="0.3">
      <c r="A102" s="64" t="s">
        <v>1348</v>
      </c>
      <c r="B102" s="67">
        <f>Parameter!$B$198/2-Parameter!$B$200/2-Parameter!$B$207</f>
        <v>1</v>
      </c>
      <c r="C102" s="64" t="s">
        <v>7</v>
      </c>
      <c r="D102" s="64">
        <v>0.5</v>
      </c>
      <c r="E102" s="64">
        <v>5</v>
      </c>
      <c r="F102" s="2" t="str">
        <f t="shared" si="3"/>
        <v>ok</v>
      </c>
      <c r="G102" s="64" t="s">
        <v>1349</v>
      </c>
    </row>
    <row r="103" spans="1:7" x14ac:dyDescent="0.3">
      <c r="A103" s="64" t="s">
        <v>1350</v>
      </c>
      <c r="B103" s="67">
        <f>Parameter!$B$198/2-Parameter!$B$200/2-Parameter!$B$208</f>
        <v>4.5999999999999996</v>
      </c>
      <c r="C103" s="64" t="s">
        <v>7</v>
      </c>
      <c r="D103" s="64">
        <v>1</v>
      </c>
      <c r="E103" s="64">
        <v>10</v>
      </c>
      <c r="F103" s="2" t="str">
        <f t="shared" si="3"/>
        <v>ok</v>
      </c>
      <c r="G103" s="64" t="s">
        <v>1351</v>
      </c>
    </row>
    <row r="104" spans="1:7" x14ac:dyDescent="0.3">
      <c r="A104" s="64" t="s">
        <v>1352</v>
      </c>
      <c r="B104" s="67">
        <f>Parameter!$B$200/2*SQRT(2)-Parameter!$B$207-Parameter!$B$208</f>
        <v>21.197979746446663</v>
      </c>
      <c r="C104" s="64" t="s">
        <v>7</v>
      </c>
      <c r="D104" s="64">
        <v>3</v>
      </c>
      <c r="E104" s="64">
        <v>50</v>
      </c>
      <c r="F104" s="2" t="str">
        <f t="shared" si="3"/>
        <v>ok</v>
      </c>
      <c r="G104" s="64" t="s">
        <v>1353</v>
      </c>
    </row>
    <row r="105" spans="1:7" x14ac:dyDescent="0.3">
      <c r="A105" s="64" t="s">
        <v>1354</v>
      </c>
      <c r="B105" s="67">
        <f>Parameter!$B$203/2-Parameter!$B$204</f>
        <v>0.75</v>
      </c>
      <c r="C105" s="64" t="s">
        <v>7</v>
      </c>
      <c r="D105" s="64">
        <v>0.3</v>
      </c>
      <c r="E105" s="64">
        <v>1.5</v>
      </c>
      <c r="F105" s="2" t="str">
        <f t="shared" si="3"/>
        <v>ok</v>
      </c>
      <c r="G105" s="64" t="s">
        <v>1355</v>
      </c>
    </row>
    <row r="106" spans="1:7" x14ac:dyDescent="0.3">
      <c r="A106" s="64" t="s">
        <v>1356</v>
      </c>
      <c r="B106" s="67">
        <f>(Parameter!$B$205-Parameter!$B$206)/2</f>
        <v>1.2500000000000009</v>
      </c>
      <c r="C106" s="64" t="s">
        <v>7</v>
      </c>
      <c r="D106" s="64">
        <v>0.5</v>
      </c>
      <c r="E106" s="64">
        <v>2</v>
      </c>
      <c r="F106" s="2" t="str">
        <f t="shared" si="3"/>
        <v>ok</v>
      </c>
      <c r="G106" s="64" t="s">
        <v>1355</v>
      </c>
    </row>
    <row r="107" spans="1:7" x14ac:dyDescent="0.3">
      <c r="A107" s="64" t="s">
        <v>1357</v>
      </c>
      <c r="B107" s="67">
        <f>Auslegung!$B$13/(PI()/4*(Parameter!$B$4^2-(Parameter!$B$240+2*Parameter!$B$177)^2))</f>
        <v>0.16789972018485663</v>
      </c>
      <c r="C107" s="64" t="s">
        <v>1152</v>
      </c>
      <c r="D107" s="64">
        <v>0</v>
      </c>
      <c r="E107" s="64">
        <v>10</v>
      </c>
      <c r="F107" s="2" t="str">
        <f t="shared" si="3"/>
        <v>ok</v>
      </c>
      <c r="G107" s="64" t="s">
        <v>1358</v>
      </c>
    </row>
    <row r="108" spans="1:7" x14ac:dyDescent="0.3">
      <c r="A108" s="64" t="s">
        <v>1359</v>
      </c>
      <c r="B108" s="67">
        <f>(Parameter!$B$94-Parameter!$B$4)/2</f>
        <v>0.10000000000000142</v>
      </c>
      <c r="C108" s="64" t="s">
        <v>7</v>
      </c>
      <c r="D108" s="64">
        <v>0.05</v>
      </c>
      <c r="E108" s="64">
        <v>0.2</v>
      </c>
      <c r="F108" s="2" t="str">
        <f t="shared" si="3"/>
        <v>ok</v>
      </c>
      <c r="G108" s="64" t="s">
        <v>1360</v>
      </c>
    </row>
    <row r="109" spans="1:7" x14ac:dyDescent="0.3">
      <c r="A109" s="64" t="s">
        <v>1361</v>
      </c>
      <c r="B109" s="67">
        <f>(Parameter!$B$98-Parameter!$B$104)/2-(Parameter!$B$94-Parameter!$B$4)/2</f>
        <v>0.14999999999999858</v>
      </c>
      <c r="C109" s="64" t="s">
        <v>7</v>
      </c>
      <c r="D109" s="64">
        <v>0.05</v>
      </c>
      <c r="E109" s="64">
        <v>1</v>
      </c>
      <c r="F109" s="2" t="str">
        <f t="shared" si="3"/>
        <v>ok</v>
      </c>
      <c r="G109" s="64" t="s">
        <v>1362</v>
      </c>
    </row>
    <row r="110" spans="1:7" x14ac:dyDescent="0.3">
      <c r="A110" s="64" t="s">
        <v>1363</v>
      </c>
      <c r="B110" s="67">
        <f>(Parameter!$B$92-Parameter!$B$210)/2</f>
        <v>0.30000000000000071</v>
      </c>
      <c r="C110" s="64" t="s">
        <v>7</v>
      </c>
      <c r="D110" s="64">
        <v>0.2</v>
      </c>
      <c r="E110" s="64">
        <v>1</v>
      </c>
      <c r="F110" s="2" t="str">
        <f t="shared" si="3"/>
        <v>ok</v>
      </c>
      <c r="G110" s="64" t="s">
        <v>1364</v>
      </c>
    </row>
    <row r="111" spans="1:7" x14ac:dyDescent="0.3">
      <c r="A111" s="64" t="s">
        <v>1365</v>
      </c>
      <c r="B111" s="67">
        <f>(Parameter!$B$92-Parameter!$B$210)/2-Parameter!$B$210/2*0.000017*Parameter!$B$173+Parameter!$B$92/2*Auslegung!$B$5*Auslegung!$B$7</f>
        <v>0.2160040000000007</v>
      </c>
      <c r="C111" s="64" t="s">
        <v>7</v>
      </c>
      <c r="D111" s="64">
        <v>0.05</v>
      </c>
      <c r="E111" s="64">
        <v>1</v>
      </c>
      <c r="F111" s="2" t="str">
        <f t="shared" si="3"/>
        <v>ok</v>
      </c>
      <c r="G111" s="64" t="s">
        <v>1366</v>
      </c>
    </row>
    <row r="112" spans="1:7" x14ac:dyDescent="0.3">
      <c r="A112" s="64" t="s">
        <v>1367</v>
      </c>
      <c r="B112" s="67">
        <f>SQRT((Parameter!$B$71/2-Parameter!$B$218)^2+(Parameter!$B$212+Parameter!$B$211/2-Parameter!$B$126)^2)-Parameter!$B$211/2</f>
        <v>3.7907938912794537</v>
      </c>
      <c r="C112" s="64" t="s">
        <v>7</v>
      </c>
      <c r="D112" s="64">
        <v>1</v>
      </c>
      <c r="E112" s="64">
        <v>10</v>
      </c>
      <c r="F112" s="2" t="str">
        <f t="shared" si="3"/>
        <v>ok</v>
      </c>
      <c r="G112" s="64" t="s">
        <v>1368</v>
      </c>
    </row>
    <row r="113" spans="1:7" x14ac:dyDescent="0.3">
      <c r="A113" s="64" t="s">
        <v>1369</v>
      </c>
      <c r="B113" s="67">
        <f>(Parameter!$B$32-Parameter!$B$44)/2-Parameter!$B$210/2</f>
        <v>5.1499999999999986</v>
      </c>
      <c r="C113" s="64" t="s">
        <v>7</v>
      </c>
      <c r="D113" s="64">
        <v>2</v>
      </c>
      <c r="E113" s="64">
        <v>20</v>
      </c>
      <c r="F113" s="2" t="str">
        <f t="shared" si="3"/>
        <v>ok</v>
      </c>
      <c r="G113" s="64" t="s">
        <v>1370</v>
      </c>
    </row>
    <row r="114" spans="1:7" x14ac:dyDescent="0.3">
      <c r="A114" s="64" t="s">
        <v>1371</v>
      </c>
      <c r="B114" s="67">
        <f>Parameter!$B$19-Parameter!$B$209/2-Parameter!$B$210/2</f>
        <v>3.8999999999999986</v>
      </c>
      <c r="C114" s="64" t="s">
        <v>7</v>
      </c>
      <c r="D114" s="64">
        <v>2</v>
      </c>
      <c r="E114" s="64">
        <v>20</v>
      </c>
      <c r="F114" s="2" t="str">
        <f t="shared" si="3"/>
        <v>ok</v>
      </c>
      <c r="G114" s="64" t="s">
        <v>1372</v>
      </c>
    </row>
    <row r="115" spans="1:7" x14ac:dyDescent="0.3">
      <c r="A115" s="64" t="s">
        <v>1373</v>
      </c>
      <c r="B115" s="67">
        <f>(Parameter!$B$32-Parameter!$B$97)/2-Parameter!$B$217</f>
        <v>0.29999999999999716</v>
      </c>
      <c r="C115" s="64" t="s">
        <v>7</v>
      </c>
      <c r="D115" s="64">
        <v>0.2</v>
      </c>
      <c r="E115" s="64">
        <v>5</v>
      </c>
      <c r="F115" s="2" t="str">
        <f t="shared" si="3"/>
        <v>ok</v>
      </c>
      <c r="G115" s="64" t="s">
        <v>1374</v>
      </c>
    </row>
    <row r="116" spans="1:7" x14ac:dyDescent="0.3">
      <c r="A116" s="64" t="s">
        <v>1375</v>
      </c>
      <c r="B116" s="67">
        <f>MIN(MOD(Parameter!$B$215-Parameter!$B$24,360/Parameter!$B$33),360/Parameter!$B$33-MOD(Parameter!$B$215-Parameter!$B$24,360/Parameter!$B$33))</f>
        <v>20</v>
      </c>
      <c r="C116" s="64" t="s">
        <v>62</v>
      </c>
      <c r="D116" s="64">
        <v>10</v>
      </c>
      <c r="E116" s="64">
        <v>20</v>
      </c>
      <c r="F116" s="2" t="str">
        <f t="shared" si="3"/>
        <v>ok</v>
      </c>
      <c r="G116" s="64" t="s">
        <v>1376</v>
      </c>
    </row>
    <row r="117" spans="1:7" x14ac:dyDescent="0.3">
      <c r="A117" s="64" t="s">
        <v>1377</v>
      </c>
      <c r="B117" s="67">
        <f>(Parameter!$B$228-Parameter!$B$224)/2</f>
        <v>0.94999999999999929</v>
      </c>
      <c r="C117" s="64" t="s">
        <v>7</v>
      </c>
      <c r="D117" s="64">
        <v>0.8</v>
      </c>
      <c r="E117" s="64">
        <v>3</v>
      </c>
      <c r="F117" s="2" t="str">
        <f t="shared" si="3"/>
        <v>ok</v>
      </c>
      <c r="G117" s="64" t="s">
        <v>1378</v>
      </c>
    </row>
    <row r="118" spans="1:7" x14ac:dyDescent="0.3">
      <c r="A118" s="64" t="s">
        <v>1379</v>
      </c>
      <c r="B118" s="67">
        <f>Parameter!$B$220-Parameter!$B$227</f>
        <v>1.7000000000000002</v>
      </c>
      <c r="C118" s="64" t="s">
        <v>7</v>
      </c>
      <c r="D118" s="64">
        <v>1.5</v>
      </c>
      <c r="E118" s="64">
        <v>5</v>
      </c>
      <c r="F118" s="2" t="str">
        <f t="shared" si="3"/>
        <v>ok</v>
      </c>
      <c r="G118" s="64" t="s">
        <v>1380</v>
      </c>
    </row>
    <row r="119" spans="1:7" x14ac:dyDescent="0.3">
      <c r="A119" s="64" t="s">
        <v>1381</v>
      </c>
      <c r="B119" s="67">
        <f>(Parameter!$B$226-Parameter!$B$228)/2/Parameter!$B$211</f>
        <v>0.70000000000000051</v>
      </c>
      <c r="C119" s="64" t="s">
        <v>87</v>
      </c>
      <c r="D119" s="64">
        <v>0.6</v>
      </c>
      <c r="E119" s="64">
        <v>1</v>
      </c>
      <c r="F119" s="2" t="str">
        <f t="shared" si="3"/>
        <v>ok</v>
      </c>
      <c r="G119" s="64" t="s">
        <v>1382</v>
      </c>
    </row>
    <row r="120" spans="1:7" x14ac:dyDescent="0.3">
      <c r="A120" s="64" t="s">
        <v>1383</v>
      </c>
      <c r="B120" s="67">
        <f>(Parameter!$B$92-Parameter!$B$226)/2</f>
        <v>1.1999999999999993</v>
      </c>
      <c r="C120" s="64" t="s">
        <v>7</v>
      </c>
      <c r="D120" s="64">
        <v>0.5</v>
      </c>
      <c r="E120" s="64">
        <v>5</v>
      </c>
      <c r="F120" s="2" t="str">
        <f t="shared" si="3"/>
        <v>ok</v>
      </c>
      <c r="G120" s="64" t="s">
        <v>1384</v>
      </c>
    </row>
    <row r="121" spans="1:7" x14ac:dyDescent="0.3">
      <c r="A121" s="64" t="s">
        <v>1385</v>
      </c>
      <c r="B121" s="67">
        <f>Parameter!$B$231-(Parameter!$B$8+Parameter!$B$6+(Parameter!$B$176-Parameter!$B$222)/2)</f>
        <v>0.19999999999999929</v>
      </c>
      <c r="C121" s="64" t="s">
        <v>7</v>
      </c>
      <c r="D121" s="64">
        <v>0.1</v>
      </c>
      <c r="E121" s="64">
        <v>3</v>
      </c>
      <c r="F121" s="2" t="str">
        <f t="shared" si="3"/>
        <v>ok</v>
      </c>
      <c r="G121" s="64" t="s">
        <v>1386</v>
      </c>
    </row>
    <row r="122" spans="1:7" x14ac:dyDescent="0.3">
      <c r="A122" s="64" t="s">
        <v>1387</v>
      </c>
      <c r="B122" s="67">
        <f>Parameter!$B$226/2-Parameter!$B$240/2</f>
        <v>2.2000000000000028</v>
      </c>
      <c r="C122" s="64" t="s">
        <v>7</v>
      </c>
      <c r="D122" s="64">
        <v>1.5</v>
      </c>
      <c r="E122" s="64">
        <v>5</v>
      </c>
      <c r="F122" s="2" t="str">
        <f t="shared" si="3"/>
        <v>ok</v>
      </c>
      <c r="G122" s="64" t="s">
        <v>1388</v>
      </c>
    </row>
    <row r="123" spans="1:7" x14ac:dyDescent="0.3">
      <c r="A123" s="64" t="s">
        <v>1389</v>
      </c>
      <c r="B123" s="67">
        <f>Parameter!$B$240/2+Parameter!$B$177-Parameter!$B$176/2</f>
        <v>0.39999999999999858</v>
      </c>
      <c r="C123" s="64" t="s">
        <v>7</v>
      </c>
      <c r="D123" s="64">
        <v>0.3</v>
      </c>
      <c r="E123" s="64">
        <v>2</v>
      </c>
      <c r="F123" s="2" t="str">
        <f t="shared" si="3"/>
        <v>ok</v>
      </c>
      <c r="G123" s="64" t="s">
        <v>1390</v>
      </c>
    </row>
    <row r="124" spans="1:7" x14ac:dyDescent="0.3">
      <c r="A124" s="64" t="s">
        <v>1391</v>
      </c>
      <c r="B124" s="67">
        <f>Parameter!$B$220-Parameter!$B$211</f>
        <v>2</v>
      </c>
      <c r="C124" s="64" t="s">
        <v>7</v>
      </c>
      <c r="D124" s="64">
        <v>1.5</v>
      </c>
      <c r="E124" s="64">
        <v>5</v>
      </c>
      <c r="F124" s="2" t="str">
        <f t="shared" si="3"/>
        <v>ok</v>
      </c>
      <c r="G124" s="64" t="s">
        <v>1392</v>
      </c>
    </row>
    <row r="125" spans="1:7" x14ac:dyDescent="0.3">
      <c r="A125" s="64" t="s">
        <v>1393</v>
      </c>
      <c r="B125" s="67">
        <f>Parameter!$B$212-(Parameter!$B$8+Parameter!$B$6+Parameter!$B$241)</f>
        <v>1.1500000000000004</v>
      </c>
      <c r="C125" s="64" t="s">
        <v>7</v>
      </c>
      <c r="D125" s="64">
        <v>0.8</v>
      </c>
      <c r="E125" s="64">
        <v>5</v>
      </c>
      <c r="F125" s="2" t="str">
        <f t="shared" si="3"/>
        <v>ok</v>
      </c>
      <c r="G125" s="64" t="s">
        <v>1388</v>
      </c>
    </row>
    <row r="126" spans="1:7" x14ac:dyDescent="0.3">
      <c r="A126" s="64" t="s">
        <v>1394</v>
      </c>
      <c r="B126" s="67">
        <f>Parameter!$B$237-Parameter!$B$211/2-Parameter!$B$210/2</f>
        <v>0.39999999999999858</v>
      </c>
      <c r="C126" s="64" t="s">
        <v>7</v>
      </c>
      <c r="D126" s="64">
        <v>0.3</v>
      </c>
      <c r="E126" s="64">
        <v>3</v>
      </c>
      <c r="F126" s="2" t="str">
        <f t="shared" si="3"/>
        <v>ok</v>
      </c>
      <c r="G126" s="64" t="s">
        <v>1395</v>
      </c>
    </row>
    <row r="127" spans="1:7" x14ac:dyDescent="0.3">
      <c r="A127" s="64" t="s">
        <v>1396</v>
      </c>
      <c r="B127" s="67">
        <f>Parameter!$B$217-(Parameter!$B$237+Parameter!$B$211/2)</f>
        <v>0.10000000000000142</v>
      </c>
      <c r="C127" s="64" t="s">
        <v>7</v>
      </c>
      <c r="D127" s="64">
        <v>0.05</v>
      </c>
      <c r="E127" s="64">
        <v>3</v>
      </c>
      <c r="F127" s="2" t="str">
        <f t="shared" si="3"/>
        <v>ok</v>
      </c>
      <c r="G127" s="64" t="s">
        <v>1397</v>
      </c>
    </row>
    <row r="128" spans="1:7" x14ac:dyDescent="0.3">
      <c r="A128" s="64" t="s">
        <v>1398</v>
      </c>
      <c r="B128" s="67">
        <f>(Parameter!$B$32-Parameter!$B$44)/2-(Parameter!$B$237+Parameter!$B$211/2)</f>
        <v>1.75</v>
      </c>
      <c r="C128" s="64" t="s">
        <v>7</v>
      </c>
      <c r="D128" s="64">
        <v>1</v>
      </c>
      <c r="E128" s="64">
        <v>10</v>
      </c>
      <c r="F128" s="2" t="str">
        <f t="shared" si="3"/>
        <v>ok</v>
      </c>
      <c r="G128" s="64" t="s">
        <v>1399</v>
      </c>
    </row>
    <row r="129" spans="1:7" x14ac:dyDescent="0.3">
      <c r="A129" s="64" t="s">
        <v>1400</v>
      </c>
      <c r="B129" s="67">
        <f>MIN(ABS(MOD(Parameter!$B$235-Parameter!$B$215+45,90)-45),ABS(MOD(Parameter!$B$235-Parameter!$B$236+45,90)-45))</f>
        <v>18</v>
      </c>
      <c r="C129" s="64" t="s">
        <v>62</v>
      </c>
      <c r="D129" s="64">
        <v>12</v>
      </c>
      <c r="E129" s="64">
        <v>45</v>
      </c>
      <c r="F129" s="2" t="str">
        <f t="shared" si="3"/>
        <v>ok</v>
      </c>
      <c r="G129" s="64" t="s">
        <v>1401</v>
      </c>
    </row>
  </sheetData>
  <conditionalFormatting sqref="F4:F129">
    <cfRule type="cellIs" dxfId="1" priority="2" operator="equal">
      <formula>"ok"</formula>
    </cfRule>
    <cfRule type="cellIs" dxfId="0" priority="3" operator="notEqual">
      <formula>"ok"</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6"/>
  <sheetViews>
    <sheetView zoomScaleNormal="100" workbookViewId="0"/>
  </sheetViews>
  <sheetFormatPr baseColWidth="10" defaultColWidth="8.6640625" defaultRowHeight="14.4" x14ac:dyDescent="0.3"/>
  <cols>
    <col min="1" max="1" width="9" customWidth="1"/>
    <col min="2" max="2" width="12" customWidth="1"/>
    <col min="3" max="3" width="13" customWidth="1"/>
    <col min="4" max="4" width="100" customWidth="1"/>
  </cols>
  <sheetData>
    <row r="1" spans="1:4" x14ac:dyDescent="0.3">
      <c r="A1" s="2" t="s">
        <v>1402</v>
      </c>
    </row>
    <row r="3" spans="1:4" x14ac:dyDescent="0.3">
      <c r="A3" s="1" t="s">
        <v>1403</v>
      </c>
      <c r="B3" s="1" t="s">
        <v>1404</v>
      </c>
      <c r="C3" s="1" t="s">
        <v>1405</v>
      </c>
      <c r="D3" s="1" t="s">
        <v>1406</v>
      </c>
    </row>
    <row r="4" spans="1:4" ht="39.6" x14ac:dyDescent="0.3">
      <c r="A4" s="68" t="s">
        <v>1407</v>
      </c>
      <c r="B4" s="68" t="s">
        <v>1408</v>
      </c>
      <c r="C4" s="68" t="s">
        <v>1409</v>
      </c>
      <c r="D4" s="68" t="s">
        <v>1410</v>
      </c>
    </row>
    <row r="5" spans="1:4" ht="26.4" x14ac:dyDescent="0.3">
      <c r="A5" s="68" t="s">
        <v>1407</v>
      </c>
      <c r="B5" s="68" t="s">
        <v>1408</v>
      </c>
      <c r="C5" s="68" t="s">
        <v>1411</v>
      </c>
      <c r="D5" s="68" t="s">
        <v>1412</v>
      </c>
    </row>
    <row r="6" spans="1:4" ht="26.4" x14ac:dyDescent="0.3">
      <c r="A6" s="68" t="s">
        <v>1407</v>
      </c>
      <c r="B6" s="68" t="s">
        <v>1408</v>
      </c>
      <c r="C6" s="68" t="s">
        <v>1413</v>
      </c>
      <c r="D6" s="68" t="s">
        <v>1414</v>
      </c>
    </row>
    <row r="7" spans="1:4" ht="26.4" x14ac:dyDescent="0.3">
      <c r="A7" s="68" t="s">
        <v>1407</v>
      </c>
      <c r="B7" s="68" t="s">
        <v>1408</v>
      </c>
      <c r="C7" s="68" t="s">
        <v>1415</v>
      </c>
      <c r="D7" s="68" t="s">
        <v>1416</v>
      </c>
    </row>
    <row r="8" spans="1:4" ht="39.6" x14ac:dyDescent="0.3">
      <c r="A8" s="68" t="s">
        <v>1417</v>
      </c>
      <c r="B8" s="68" t="s">
        <v>1418</v>
      </c>
      <c r="C8" s="68" t="s">
        <v>1</v>
      </c>
      <c r="D8" s="68" t="s">
        <v>1419</v>
      </c>
    </row>
    <row r="9" spans="1:4" x14ac:dyDescent="0.3">
      <c r="A9" s="68" t="s">
        <v>1417</v>
      </c>
      <c r="B9" s="68" t="s">
        <v>1418</v>
      </c>
      <c r="C9" s="68" t="s">
        <v>1420</v>
      </c>
      <c r="D9" s="68" t="s">
        <v>1421</v>
      </c>
    </row>
    <row r="10" spans="1:4" x14ac:dyDescent="0.3">
      <c r="A10" s="68" t="s">
        <v>1417</v>
      </c>
      <c r="B10" s="68" t="s">
        <v>1418</v>
      </c>
      <c r="C10" s="68" t="s">
        <v>1422</v>
      </c>
      <c r="D10" s="68" t="s">
        <v>1423</v>
      </c>
    </row>
    <row r="11" spans="1:4" ht="26.4" x14ac:dyDescent="0.3">
      <c r="A11" s="68" t="s">
        <v>1417</v>
      </c>
      <c r="B11" s="68" t="s">
        <v>1418</v>
      </c>
      <c r="C11" s="68" t="s">
        <v>1424</v>
      </c>
      <c r="D11" s="68" t="s">
        <v>1425</v>
      </c>
    </row>
    <row r="12" spans="1:4" ht="26.4" x14ac:dyDescent="0.3">
      <c r="A12" s="68" t="s">
        <v>1426</v>
      </c>
      <c r="B12" s="68" t="s">
        <v>1418</v>
      </c>
      <c r="C12" s="68" t="s">
        <v>1424</v>
      </c>
      <c r="D12" s="68" t="s">
        <v>1427</v>
      </c>
    </row>
    <row r="13" spans="1:4" ht="26.4" x14ac:dyDescent="0.3">
      <c r="A13" s="68" t="s">
        <v>1426</v>
      </c>
      <c r="B13" s="68" t="s">
        <v>1418</v>
      </c>
      <c r="C13" s="68" t="s">
        <v>1424</v>
      </c>
      <c r="D13" s="68" t="s">
        <v>1428</v>
      </c>
    </row>
    <row r="14" spans="1:4" ht="39.6" x14ac:dyDescent="0.3">
      <c r="A14" s="68" t="s">
        <v>1426</v>
      </c>
      <c r="B14" s="68" t="s">
        <v>1418</v>
      </c>
      <c r="C14" s="68" t="s">
        <v>1424</v>
      </c>
      <c r="D14" s="68" t="s">
        <v>1429</v>
      </c>
    </row>
    <row r="15" spans="1:4" ht="39.6" x14ac:dyDescent="0.3">
      <c r="A15" s="68" t="s">
        <v>1430</v>
      </c>
      <c r="B15" s="68" t="s">
        <v>1418</v>
      </c>
      <c r="C15" s="68" t="s">
        <v>1420</v>
      </c>
      <c r="D15" s="68" t="s">
        <v>1431</v>
      </c>
    </row>
    <row r="16" spans="1:4" ht="26.4" x14ac:dyDescent="0.3">
      <c r="A16" s="68" t="s">
        <v>1430</v>
      </c>
      <c r="B16" s="68" t="s">
        <v>1418</v>
      </c>
      <c r="C16" s="68" t="s">
        <v>1415</v>
      </c>
      <c r="D16" s="68" t="s">
        <v>1432</v>
      </c>
    </row>
    <row r="17" spans="1:4" ht="26.4" x14ac:dyDescent="0.3">
      <c r="A17" s="68" t="s">
        <v>1430</v>
      </c>
      <c r="B17" s="68" t="s">
        <v>1418</v>
      </c>
      <c r="C17" s="68" t="s">
        <v>1424</v>
      </c>
      <c r="D17" s="68" t="s">
        <v>1433</v>
      </c>
    </row>
    <row r="18" spans="1:4" ht="39.6" x14ac:dyDescent="0.3">
      <c r="A18" s="68" t="s">
        <v>1434</v>
      </c>
      <c r="B18" s="68" t="s">
        <v>1418</v>
      </c>
      <c r="C18" s="68" t="s">
        <v>1</v>
      </c>
      <c r="D18" s="68" t="s">
        <v>1435</v>
      </c>
    </row>
    <row r="19" spans="1:4" ht="26.4" x14ac:dyDescent="0.3">
      <c r="A19" s="68" t="s">
        <v>1434</v>
      </c>
      <c r="B19" s="68" t="s">
        <v>1418</v>
      </c>
      <c r="C19" s="68" t="s">
        <v>1</v>
      </c>
      <c r="D19" s="68" t="s">
        <v>1436</v>
      </c>
    </row>
    <row r="20" spans="1:4" x14ac:dyDescent="0.3">
      <c r="A20" s="68" t="s">
        <v>1434</v>
      </c>
      <c r="B20" s="68" t="s">
        <v>1418</v>
      </c>
      <c r="C20" s="68" t="s">
        <v>1422</v>
      </c>
      <c r="D20" s="68" t="s">
        <v>1437</v>
      </c>
    </row>
    <row r="21" spans="1:4" x14ac:dyDescent="0.3">
      <c r="A21" s="68" t="s">
        <v>1434</v>
      </c>
      <c r="B21" s="68" t="s">
        <v>1418</v>
      </c>
      <c r="C21" s="68" t="s">
        <v>1420</v>
      </c>
      <c r="D21" s="68" t="s">
        <v>1438</v>
      </c>
    </row>
    <row r="22" spans="1:4" ht="26.4" x14ac:dyDescent="0.3">
      <c r="A22" s="68" t="s">
        <v>1439</v>
      </c>
      <c r="B22" s="68" t="s">
        <v>1418</v>
      </c>
      <c r="C22" s="68" t="s">
        <v>1440</v>
      </c>
      <c r="D22" s="68" t="s">
        <v>1441</v>
      </c>
    </row>
    <row r="23" spans="1:4" ht="39.6" x14ac:dyDescent="0.3">
      <c r="A23" s="68" t="s">
        <v>1442</v>
      </c>
      <c r="B23" s="68" t="s">
        <v>1418</v>
      </c>
      <c r="C23" s="68" t="s">
        <v>1440</v>
      </c>
      <c r="D23" s="68" t="s">
        <v>1443</v>
      </c>
    </row>
    <row r="24" spans="1:4" ht="52.8" x14ac:dyDescent="0.3">
      <c r="A24" s="68" t="s">
        <v>1444</v>
      </c>
      <c r="B24" s="68" t="s">
        <v>1445</v>
      </c>
      <c r="C24" s="68" t="s">
        <v>1420</v>
      </c>
      <c r="D24" s="68" t="s">
        <v>1446</v>
      </c>
    </row>
    <row r="25" spans="1:4" x14ac:dyDescent="0.3">
      <c r="A25" s="68" t="s">
        <v>1444</v>
      </c>
      <c r="B25" s="68" t="s">
        <v>1445</v>
      </c>
      <c r="C25" s="68" t="s">
        <v>1422</v>
      </c>
      <c r="D25" s="68" t="s">
        <v>1447</v>
      </c>
    </row>
    <row r="26" spans="1:4" ht="39.6" x14ac:dyDescent="0.3">
      <c r="A26" s="68" t="s">
        <v>1444</v>
      </c>
      <c r="B26" s="68" t="s">
        <v>1445</v>
      </c>
      <c r="C26" s="68" t="s">
        <v>1424</v>
      </c>
      <c r="D26" s="68" t="s">
        <v>1448</v>
      </c>
    </row>
    <row r="27" spans="1:4" ht="39.6" x14ac:dyDescent="0.3">
      <c r="A27" s="68" t="s">
        <v>1449</v>
      </c>
      <c r="B27" s="68" t="s">
        <v>1445</v>
      </c>
      <c r="C27" s="68" t="s">
        <v>1440</v>
      </c>
      <c r="D27" s="68" t="s">
        <v>1450</v>
      </c>
    </row>
    <row r="28" spans="1:4" ht="39.6" x14ac:dyDescent="0.3">
      <c r="A28" s="68" t="s">
        <v>1449</v>
      </c>
      <c r="B28" s="68" t="s">
        <v>1445</v>
      </c>
      <c r="C28" s="68" t="s">
        <v>1440</v>
      </c>
      <c r="D28" s="68" t="s">
        <v>1451</v>
      </c>
    </row>
    <row r="29" spans="1:4" ht="26.4" x14ac:dyDescent="0.3">
      <c r="A29" s="68" t="s">
        <v>1449</v>
      </c>
      <c r="B29" s="68" t="s">
        <v>1445</v>
      </c>
      <c r="C29" s="68" t="s">
        <v>1</v>
      </c>
      <c r="D29" s="68" t="s">
        <v>1452</v>
      </c>
    </row>
    <row r="30" spans="1:4" x14ac:dyDescent="0.3">
      <c r="A30" s="68" t="s">
        <v>1449</v>
      </c>
      <c r="B30" s="68" t="s">
        <v>1445</v>
      </c>
      <c r="C30" s="68" t="s">
        <v>1420</v>
      </c>
      <c r="D30" s="68" t="s">
        <v>1453</v>
      </c>
    </row>
    <row r="31" spans="1:4" ht="26.4" x14ac:dyDescent="0.3">
      <c r="A31" s="68" t="s">
        <v>1454</v>
      </c>
      <c r="B31" s="68" t="s">
        <v>1445</v>
      </c>
      <c r="C31" s="68" t="s">
        <v>1440</v>
      </c>
      <c r="D31" s="68" t="s">
        <v>1455</v>
      </c>
    </row>
    <row r="32" spans="1:4" ht="26.4" x14ac:dyDescent="0.3">
      <c r="A32" s="68" t="s">
        <v>1454</v>
      </c>
      <c r="B32" s="68" t="s">
        <v>1445</v>
      </c>
      <c r="C32" s="68" t="s">
        <v>1424</v>
      </c>
      <c r="D32" s="68" t="s">
        <v>1456</v>
      </c>
    </row>
    <row r="33" spans="1:4" x14ac:dyDescent="0.3">
      <c r="A33" s="68" t="s">
        <v>1457</v>
      </c>
      <c r="B33" s="68" t="s">
        <v>1445</v>
      </c>
      <c r="C33" s="68" t="s">
        <v>1</v>
      </c>
      <c r="D33" s="68" t="s">
        <v>1458</v>
      </c>
    </row>
    <row r="34" spans="1:4" ht="26.4" x14ac:dyDescent="0.3">
      <c r="A34" s="68" t="s">
        <v>1457</v>
      </c>
      <c r="B34" s="68" t="s">
        <v>1445</v>
      </c>
      <c r="C34" s="68" t="s">
        <v>1420</v>
      </c>
      <c r="D34" s="68" t="s">
        <v>1459</v>
      </c>
    </row>
    <row r="35" spans="1:4" ht="26.4" x14ac:dyDescent="0.3">
      <c r="A35" s="68" t="s">
        <v>1460</v>
      </c>
      <c r="B35" s="68" t="s">
        <v>1445</v>
      </c>
      <c r="C35" s="68" t="s">
        <v>1</v>
      </c>
      <c r="D35" s="68" t="s">
        <v>1461</v>
      </c>
    </row>
    <row r="36" spans="1:4" ht="26.4" x14ac:dyDescent="0.3">
      <c r="A36" s="68" t="s">
        <v>1462</v>
      </c>
      <c r="B36" s="68" t="s">
        <v>1463</v>
      </c>
      <c r="C36" s="68" t="s">
        <v>1420</v>
      </c>
      <c r="D36" s="68" t="s">
        <v>1464</v>
      </c>
    </row>
    <row r="37" spans="1:4" ht="39.6" x14ac:dyDescent="0.3">
      <c r="A37" s="68" t="s">
        <v>1462</v>
      </c>
      <c r="B37" s="68" t="s">
        <v>1463</v>
      </c>
      <c r="C37" s="68" t="s">
        <v>1440</v>
      </c>
      <c r="D37" s="68" t="s">
        <v>1465</v>
      </c>
    </row>
    <row r="38" spans="1:4" ht="26.4" x14ac:dyDescent="0.3">
      <c r="A38" s="68" t="s">
        <v>1462</v>
      </c>
      <c r="B38" s="68" t="s">
        <v>1463</v>
      </c>
      <c r="C38" s="68" t="s">
        <v>1440</v>
      </c>
      <c r="D38" s="68" t="s">
        <v>1466</v>
      </c>
    </row>
    <row r="39" spans="1:4" ht="39.6" x14ac:dyDescent="0.3">
      <c r="A39" s="68" t="s">
        <v>1462</v>
      </c>
      <c r="B39" s="68" t="s">
        <v>1463</v>
      </c>
      <c r="C39" s="68" t="s">
        <v>1440</v>
      </c>
      <c r="D39" s="68" t="s">
        <v>1467</v>
      </c>
    </row>
    <row r="40" spans="1:4" ht="26.4" x14ac:dyDescent="0.3">
      <c r="A40" s="68" t="s">
        <v>1462</v>
      </c>
      <c r="B40" s="68" t="s">
        <v>1463</v>
      </c>
      <c r="C40" s="68" t="s">
        <v>1424</v>
      </c>
      <c r="D40" s="68" t="s">
        <v>1468</v>
      </c>
    </row>
    <row r="41" spans="1:4" ht="39.6" x14ac:dyDescent="0.3">
      <c r="A41" s="68" t="s">
        <v>1469</v>
      </c>
      <c r="B41" s="68" t="s">
        <v>1463</v>
      </c>
      <c r="C41" s="68" t="s">
        <v>1424</v>
      </c>
      <c r="D41" s="68" t="s">
        <v>1470</v>
      </c>
    </row>
    <row r="42" spans="1:4" x14ac:dyDescent="0.3">
      <c r="A42" s="68" t="s">
        <v>1469</v>
      </c>
      <c r="B42" s="68" t="s">
        <v>1463</v>
      </c>
      <c r="C42" s="68" t="s">
        <v>1424</v>
      </c>
      <c r="D42" s="68" t="s">
        <v>1471</v>
      </c>
    </row>
    <row r="43" spans="1:4" ht="39.6" x14ac:dyDescent="0.3">
      <c r="A43" s="68" t="s">
        <v>1472</v>
      </c>
      <c r="B43" s="68" t="s">
        <v>1473</v>
      </c>
      <c r="C43" s="68" t="s">
        <v>1420</v>
      </c>
      <c r="D43" s="68" t="s">
        <v>1474</v>
      </c>
    </row>
    <row r="44" spans="1:4" ht="26.4" x14ac:dyDescent="0.3">
      <c r="A44" s="68" t="s">
        <v>1472</v>
      </c>
      <c r="B44" s="68" t="s">
        <v>1473</v>
      </c>
      <c r="C44" s="68" t="s">
        <v>1</v>
      </c>
      <c r="D44" s="68" t="s">
        <v>1475</v>
      </c>
    </row>
    <row r="45" spans="1:4" ht="26.4" x14ac:dyDescent="0.3">
      <c r="A45" s="68" t="s">
        <v>1472</v>
      </c>
      <c r="B45" s="68" t="s">
        <v>1473</v>
      </c>
      <c r="C45" s="68" t="s">
        <v>1420</v>
      </c>
      <c r="D45" s="68" t="s">
        <v>1476</v>
      </c>
    </row>
    <row r="46" spans="1:4" ht="26.4" x14ac:dyDescent="0.3">
      <c r="A46" s="68" t="s">
        <v>1472</v>
      </c>
      <c r="B46" s="68" t="s">
        <v>1473</v>
      </c>
      <c r="C46" s="68" t="s">
        <v>1440</v>
      </c>
      <c r="D46" s="68" t="s">
        <v>1477</v>
      </c>
    </row>
    <row r="47" spans="1:4" ht="39.6" x14ac:dyDescent="0.3">
      <c r="A47" s="68" t="s">
        <v>1478</v>
      </c>
      <c r="B47" s="68" t="s">
        <v>1473</v>
      </c>
      <c r="C47" s="68" t="s">
        <v>1420</v>
      </c>
      <c r="D47" s="68" t="s">
        <v>1479</v>
      </c>
    </row>
    <row r="48" spans="1:4" ht="26.4" x14ac:dyDescent="0.3">
      <c r="A48" s="68" t="s">
        <v>1478</v>
      </c>
      <c r="B48" s="68" t="s">
        <v>1473</v>
      </c>
      <c r="C48" s="68" t="s">
        <v>1440</v>
      </c>
      <c r="D48" s="68" t="s">
        <v>1480</v>
      </c>
    </row>
    <row r="49" spans="1:4" ht="26.4" x14ac:dyDescent="0.3">
      <c r="A49" s="68" t="s">
        <v>1478</v>
      </c>
      <c r="B49" s="68" t="s">
        <v>1473</v>
      </c>
      <c r="C49" s="68" t="s">
        <v>1415</v>
      </c>
      <c r="D49" s="68" t="s">
        <v>1481</v>
      </c>
    </row>
    <row r="50" spans="1:4" x14ac:dyDescent="0.3">
      <c r="A50" s="68" t="s">
        <v>1478</v>
      </c>
      <c r="B50" s="68" t="s">
        <v>1473</v>
      </c>
      <c r="C50" s="68" t="s">
        <v>1415</v>
      </c>
      <c r="D50" s="68" t="s">
        <v>1482</v>
      </c>
    </row>
    <row r="51" spans="1:4" ht="39.6" x14ac:dyDescent="0.3">
      <c r="A51" s="68" t="s">
        <v>1483</v>
      </c>
      <c r="B51" s="68" t="s">
        <v>1473</v>
      </c>
      <c r="C51" s="68" t="s">
        <v>1420</v>
      </c>
      <c r="D51" s="68" t="s">
        <v>1484</v>
      </c>
    </row>
    <row r="52" spans="1:4" ht="26.4" x14ac:dyDescent="0.3">
      <c r="A52" s="68" t="s">
        <v>1485</v>
      </c>
      <c r="B52" s="68" t="s">
        <v>1473</v>
      </c>
      <c r="C52" s="68" t="s">
        <v>1420</v>
      </c>
      <c r="D52" s="68" t="s">
        <v>1486</v>
      </c>
    </row>
    <row r="53" spans="1:4" ht="26.4" x14ac:dyDescent="0.3">
      <c r="A53" s="68" t="s">
        <v>1485</v>
      </c>
      <c r="B53" s="68" t="s">
        <v>1473</v>
      </c>
      <c r="C53" s="68" t="s">
        <v>1</v>
      </c>
      <c r="D53" s="68" t="s">
        <v>1487</v>
      </c>
    </row>
    <row r="54" spans="1:4" ht="26.4" x14ac:dyDescent="0.3">
      <c r="A54" s="68" t="s">
        <v>1485</v>
      </c>
      <c r="B54" s="68" t="s">
        <v>1473</v>
      </c>
      <c r="C54" s="68" t="s">
        <v>1440</v>
      </c>
      <c r="D54" s="68" t="s">
        <v>1488</v>
      </c>
    </row>
    <row r="55" spans="1:4" ht="26.4" x14ac:dyDescent="0.3">
      <c r="A55" s="68" t="s">
        <v>1489</v>
      </c>
      <c r="B55" s="68" t="s">
        <v>1473</v>
      </c>
      <c r="C55" s="68" t="s">
        <v>1424</v>
      </c>
      <c r="D55" s="68" t="s">
        <v>1490</v>
      </c>
    </row>
    <row r="56" spans="1:4" ht="39.6" x14ac:dyDescent="0.3">
      <c r="A56" s="68" t="s">
        <v>1491</v>
      </c>
      <c r="B56" s="68" t="s">
        <v>1473</v>
      </c>
      <c r="C56" s="68" t="s">
        <v>1</v>
      </c>
      <c r="D56" s="68" t="s">
        <v>1492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Parameter</vt:lpstr>
      <vt:lpstr>Inventor_Anleitung</vt:lpstr>
      <vt:lpstr>Baugruppe</vt:lpstr>
      <vt:lpstr>Auslegung</vt:lpstr>
      <vt:lpstr>Pruefungen</vt:lpstr>
      <vt:lpstr>Aenderungen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Konrad Wehkamp</cp:lastModifiedBy>
  <cp:revision>0</cp:revision>
  <dcterms:created xsi:type="dcterms:W3CDTF">2026-10-24T11:01:12Z</dcterms:created>
  <dcterms:modified xsi:type="dcterms:W3CDTF">2026-10-24T11:03:47Z</dcterms:modified>
  <dc:language>en-US</dc:language>
</cp:coreProperties>
</file>