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w\Documents\ABEP_Koppeltest\CAD\RF-Neutralisator\"/>
    </mc:Choice>
  </mc:AlternateContent>
  <xr:revisionPtr revIDLastSave="0" documentId="13_ncr:1_{99FDB369-85BA-4776-860D-3833932CDE50}" xr6:coauthVersionLast="47" xr6:coauthVersionMax="47" xr10:uidLastSave="{00000000-0000-0000-0000-000000000000}"/>
  <bookViews>
    <workbookView xWindow="2928" yWindow="2928" windowWidth="17280" windowHeight="10140" xr2:uid="{00000000-000D-0000-FFFF-FFFF00000000}"/>
  </bookViews>
  <sheets>
    <sheet name="Parameter" sheetId="1" r:id="rId1"/>
    <sheet name="Auslegung" sheetId="2" r:id="rId2"/>
    <sheet name="Anschlaege" sheetId="3" r:id="rId3"/>
    <sheet name="Aenderung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C8" i="3"/>
  <c r="B27" i="2"/>
  <c r="F27" i="2" s="1"/>
  <c r="B19" i="2"/>
  <c r="B36" i="2" s="1"/>
  <c r="F36" i="2" s="1"/>
  <c r="B18" i="2"/>
  <c r="B17" i="2"/>
  <c r="B39" i="1"/>
  <c r="B38" i="1"/>
  <c r="B37" i="1"/>
  <c r="B35" i="2" s="1"/>
  <c r="F35" i="2" s="1"/>
  <c r="B36" i="1"/>
  <c r="B41" i="1" s="1"/>
  <c r="B29" i="1"/>
  <c r="B27" i="1"/>
  <c r="B26" i="1"/>
  <c r="B25" i="1"/>
  <c r="B29" i="2" s="1"/>
  <c r="F29" i="2" s="1"/>
  <c r="B24" i="1"/>
  <c r="B22" i="1"/>
  <c r="B21" i="1"/>
  <c r="B18" i="1"/>
  <c r="B19" i="1" s="1"/>
  <c r="B17" i="1"/>
  <c r="B33" i="2" l="1"/>
  <c r="F33" i="2" s="1"/>
  <c r="B40" i="1"/>
  <c r="B34" i="2" s="1"/>
  <c r="F34" i="2" s="1"/>
  <c r="B24" i="2"/>
  <c r="F24" i="2" s="1"/>
  <c r="B9" i="2"/>
  <c r="B25" i="2" s="1"/>
  <c r="F25" i="2" s="1"/>
  <c r="D8" i="3"/>
  <c r="B23" i="2"/>
  <c r="F23" i="2" s="1"/>
  <c r="C9" i="3"/>
  <c r="B10" i="2"/>
  <c r="B26" i="2" s="1"/>
  <c r="F26" i="2" s="1"/>
  <c r="B28" i="1"/>
  <c r="B23" i="1"/>
  <c r="B20" i="1"/>
  <c r="B30" i="2" s="1"/>
  <c r="F30" i="2" s="1"/>
  <c r="B31" i="2"/>
  <c r="F31" i="2" s="1"/>
  <c r="B32" i="2"/>
  <c r="F32" i="2" s="1"/>
  <c r="D9" i="3" l="1"/>
  <c r="B28" i="2"/>
  <c r="F28" i="2" s="1"/>
</calcChain>
</file>

<file path=xl/sharedStrings.xml><?xml version="1.0" encoding="utf-8"?>
<sst xmlns="http://schemas.openxmlformats.org/spreadsheetml/2006/main" count="340" uniqueCount="258">
  <si>
    <t>Name</t>
  </si>
  <si>
    <t>Wert</t>
  </si>
  <si>
    <t>Einheit</t>
  </si>
  <si>
    <t>Kommentar</t>
  </si>
  <si>
    <t>Inventor: Link, Start Cell A2   (v8, 12.10.2026)</t>
  </si>
  <si>
    <t>d1_oring</t>
  </si>
  <si>
    <t>mm</t>
  </si>
  <si>
    <t>O-Ring Innendurchmesser, metrisch, 1 mm Schritte</t>
  </si>
  <si>
    <t>Block lueckenlos A2 bis D41, Zeile 42 leer.</t>
  </si>
  <si>
    <t>d2_oring</t>
  </si>
  <si>
    <t>O-Ring Schnurstaerke. ISO-Toleranz ca. +/-0.08</t>
  </si>
  <si>
    <t>Keine Zwischenueberschriften. Eine Zeile ohne Wert</t>
  </si>
  <si>
    <t>t_nut</t>
  </si>
  <si>
    <t>Nuttiefe GEMESSEN AB GLASUNTERSEITE, nicht ab Steg</t>
  </si>
  <si>
    <t>bricht den Import sofort ab.</t>
  </si>
  <si>
    <t>b_nut</t>
  </si>
  <si>
    <t>Nutbreite</t>
  </si>
  <si>
    <t>sp_radial</t>
  </si>
  <si>
    <t>Radialspiel O-Ring zur Nutaussenwand</t>
  </si>
  <si>
    <t>ZEILEN 2 BIS 29 SIND EINGEFROREN. Sie tragen</t>
  </si>
  <si>
    <t>sp_steg</t>
  </si>
  <si>
    <t>Luft Alusteg zu Glas. Ueberlastanschlag, keine Betriebslage</t>
  </si>
  <si>
    <t>dieselben Namen in derselben Reihenfolge wie v5.</t>
  </si>
  <si>
    <t>r_kante</t>
  </si>
  <si>
    <t>Kantenradius in der Nut</t>
  </si>
  <si>
    <t>Neue Parameter kommen ab Zeile 30 (gruen) dazu.</t>
  </si>
  <si>
    <t>d_blende</t>
  </si>
  <si>
    <t>Blendendicke, Molybdaen</t>
  </si>
  <si>
    <t>Nie umsortieren, nie dazwischen einfuegen, sonst</t>
  </si>
  <si>
    <t>h_iso_bett</t>
  </si>
  <si>
    <t>GEAENDERT v7 von 0.35: Bett = Blendendicke, Blende buendig</t>
  </si>
  <si>
    <t>verliert Inventor die Zuordnung.</t>
  </si>
  <si>
    <t>h_iso_kragen</t>
  </si>
  <si>
    <t>Kragenhoehe des Isolierrings, rundes Fertigungsmass</t>
  </si>
  <si>
    <t>r_iso_i</t>
  </si>
  <si>
    <t>Isolierring innen</t>
  </si>
  <si>
    <t>Gelb = Eingabe. Schwarz = berechnet.</t>
  </si>
  <si>
    <t>r_iso_bett</t>
  </si>
  <si>
    <t>Bettaussenradius, fuehrt die Blende radial</t>
  </si>
  <si>
    <t>Nach dem Aendern speichern, Excel schliessen,</t>
  </si>
  <si>
    <t>r_iso_a</t>
  </si>
  <si>
    <t>Isolierring aussen, Ende der Kragenflaeche</t>
  </si>
  <si>
    <t>dann in Inventor Parameters &gt; Update.</t>
  </si>
  <si>
    <t>r_glas_eben</t>
  </si>
  <si>
    <t>Aussenradius des ebenen Glasbodens, aus Glas_Gefaess.stp</t>
  </si>
  <si>
    <t>r_alu_bohr</t>
  </si>
  <si>
    <t>Aufnahmebohrung im Alu-Ring fuer den Glasfuss r 31</t>
  </si>
  <si>
    <t>Alle Radien ab Rotationsachse. Nur d1_oring und</t>
  </si>
  <si>
    <t>r_oring_m</t>
  </si>
  <si>
    <t>O-Ring Mittelradius frei. DIESES Mass in Inventor zeichnen</t>
  </si>
  <si>
    <t>d2_oring sind Durchmesser nach Norm.</t>
  </si>
  <si>
    <t>r_oring_a</t>
  </si>
  <si>
    <t>O-Ring Aussenradius, frei</t>
  </si>
  <si>
    <t>Hoehen zaehlen ab Glasunterseite.</t>
  </si>
  <si>
    <t>r_nut_a</t>
  </si>
  <si>
    <t>Nut aussen, Dichtflaeche bei Innendruck</t>
  </si>
  <si>
    <t>r_nut_i</t>
  </si>
  <si>
    <t>Nut innen</t>
  </si>
  <si>
    <t>Dichtung in Inventor als KREIS d2_oring bei</t>
  </si>
  <si>
    <t>b_ell</t>
  </si>
  <si>
    <t>Dichtung verpresst, Halbachse axial</t>
  </si>
  <si>
    <t>r_oring_m zeichnen und drehen (Revolve).</t>
  </si>
  <si>
    <t>a_ell</t>
  </si>
  <si>
    <t>Dichtung verpresst, Halbachse radial, flaechengleich</t>
  </si>
  <si>
    <t>Die Ellipse r_ell_m gehoert nur ins COMSOL-Modell.</t>
  </si>
  <si>
    <t>r_ell_m</t>
  </si>
  <si>
    <t>Dichtung verpresst, Mittelradius. NUR fuer COMSOL</t>
  </si>
  <si>
    <t>t_steg</t>
  </si>
  <si>
    <t>Nuttiefe ab Alusteg, das Fertigungsmass</t>
  </si>
  <si>
    <t>Isoliertasche: h_tasche_iso ab Glasunterseite,</t>
  </si>
  <si>
    <t>sp_blende</t>
  </si>
  <si>
    <t>Blende gegen Kragen. Null heisst buendig</t>
  </si>
  <si>
    <t>h_tasche_fert ab Anschlagsteg. Letzteres ist das</t>
  </si>
  <si>
    <t>h_iso_unten</t>
  </si>
  <si>
    <t>Restdicke des Isolierrings unter der Blende</t>
  </si>
  <si>
    <t>Zeichnungsmass, weil der Steg eine Flaeche am</t>
  </si>
  <si>
    <t>s_verpress</t>
  </si>
  <si>
    <t>ul</t>
  </si>
  <si>
    <t>Verpressung im Betrieb</t>
  </si>
  <si>
    <t>selben Bauteil ist.</t>
  </si>
  <si>
    <t>s_max</t>
  </si>
  <si>
    <t>Verpressung falls der Alusteg faengt</t>
  </si>
  <si>
    <t>f_kalt</t>
  </si>
  <si>
    <t>Fuellgrad bei 20 Grad C</t>
  </si>
  <si>
    <t>Blaetter: Auslegung, Anschlaege, Aenderungen.</t>
  </si>
  <si>
    <t>fw_iso</t>
  </si>
  <si>
    <t>NEU v7: Einbauhoehe der Feder unter dem Isolierring</t>
  </si>
  <si>
    <t>h_glas_fuss</t>
  </si>
  <si>
    <t>NEU v7: Glasfusshoehe Boden bis Fussoberseite. AM TEIL MESSEN</t>
  </si>
  <si>
    <t>h_alu_steg_rand</t>
  </si>
  <si>
    <t>NEU v7: Alu, Anschlagsteg bis Taschenrand. Zeichnungsmass</t>
  </si>
  <si>
    <t>t_tasche</t>
  </si>
  <si>
    <t>NEU v7: Tasche fuer den oberen GFK-Ring, absichtlich zu tief</t>
  </si>
  <si>
    <t>t_gfk_ring</t>
  </si>
  <si>
    <t>NEU v7: Dicke des oberen GFK-Rings</t>
  </si>
  <si>
    <t>h_gfk_senk</t>
  </si>
  <si>
    <t>NEU v7: Senkung r 32 unten am oberen GFK-Ring</t>
  </si>
  <si>
    <t>h_tasche_iso</t>
  </si>
  <si>
    <t>NEU v7: Isoliertasche ab Glasunterseite, mit Federraum</t>
  </si>
  <si>
    <t>h_feder_min</t>
  </si>
  <si>
    <t>NEU v7: Federhoehe wenn das Glas auf dem Steg sitzt</t>
  </si>
  <si>
    <t>s_scheibe</t>
  </si>
  <si>
    <t>NEU v7: Passscheibe aus Nennmassen. Vorhersage, nicht Bestellmass</t>
  </si>
  <si>
    <t>k_scheibe</t>
  </si>
  <si>
    <t>NEU v7: Montagemessung, Scheibe = k_scheibe minus gemessenes m</t>
  </si>
  <si>
    <t>luft_rand</t>
  </si>
  <si>
    <t>NEU v7: Luft GFK-Oberseite zu Taschenrand</t>
  </si>
  <si>
    <t>h_tasche_fert</t>
  </si>
  <si>
    <t>NEU v8: Isoliertasche ab ANSCHLAGSTEG. Das Zeichnungsmass fuer den Alu-Ring</t>
  </si>
  <si>
    <t>Auslegung der unteren Dichtstelle, Ring unten gegen Glasgefaess  (v8, 12.10.2026)</t>
  </si>
  <si>
    <t>ISO 3601-1 O-Ring, ISO 3601-2 Einbauraum, ISO 3601-5 Werkstoff</t>
  </si>
  <si>
    <t>Waermedehnung</t>
  </si>
  <si>
    <t>alpha_ffkm</t>
  </si>
  <si>
    <t>1/K</t>
  </si>
  <si>
    <t>Linearer Ausdehnungskoeffizient FFKM</t>
  </si>
  <si>
    <t>alpha_alu</t>
  </si>
  <si>
    <t>Linearer Ausdehnungskoeffizient Aluminium</t>
  </si>
  <si>
    <t>dT_betrieb</t>
  </si>
  <si>
    <t>K</t>
  </si>
  <si>
    <t>Temperaturhub von 20 auf 300 Grad C</t>
  </si>
  <si>
    <t>f_heiss</t>
  </si>
  <si>
    <t>Fuellgrad bei Betriebstemperatur</t>
  </si>
  <si>
    <t>f_heiss_steg</t>
  </si>
  <si>
    <t>Fuellgrad heiss falls der Steg faengt</t>
  </si>
  <si>
    <t>Kraefte</t>
  </si>
  <si>
    <t>F_dicht</t>
  </si>
  <si>
    <t>N</t>
  </si>
  <si>
    <t>FFKM 80 Shore A, ca. 15 N je cm Umfang bei 1.5 mm Schnur</t>
  </si>
  <si>
    <t>F_feder</t>
  </si>
  <si>
    <t>Wellenfeder Oe48.4/51.6, 12 Wellen, 23 N/mm bei 0.15 mm Weg</t>
  </si>
  <si>
    <t>h_feder_block</t>
  </si>
  <si>
    <t>Blockmass = Blechdicke der Wellenfeder. Bei anderer Feder anpassen</t>
  </si>
  <si>
    <t>A_kragen</t>
  </si>
  <si>
    <t>mm2</t>
  </si>
  <si>
    <t>Kragenflaeche des Isolierrings</t>
  </si>
  <si>
    <t>A_blende</t>
  </si>
  <si>
    <t>Auflagering der Blende im Bett</t>
  </si>
  <si>
    <t>p_feder</t>
  </si>
  <si>
    <t>MPa</t>
  </si>
  <si>
    <t>Pressung der Feder gegen das Glas, unguenstigster Fall</t>
  </si>
  <si>
    <t>Pruefungen</t>
  </si>
  <si>
    <t>Groesse</t>
  </si>
  <si>
    <t>Soll min</t>
  </si>
  <si>
    <t>Soll max</t>
  </si>
  <si>
    <t>Status</t>
  </si>
  <si>
    <t>Begruendung</t>
  </si>
  <si>
    <t>Verpressung</t>
  </si>
  <si>
    <t>Vakuumdichtung ohne Druckunterstuetzung, plus Reserve fuer Druckverformungsrest</t>
  </si>
  <si>
    <t>Fuellgrad kalt</t>
  </si>
  <si>
    <t>Niedriger als die ueblichen 0.85, weil FFKM sich bis 300 Grad C um 18 Prozent ausdehnt</t>
  </si>
  <si>
    <t>Fuellgrad heiss</t>
  </si>
  <si>
    <t>Ueber 0.90 ist die Nut hydraulisch zu und der Ring drueckt die Flaechen auseinander</t>
  </si>
  <si>
    <t>Fuellgrad heiss am Steg</t>
  </si>
  <si>
    <t>Am Ueberlastanschlag laeuft die Nut voll. Darf kalt einmal passieren, nicht heiss</t>
  </si>
  <si>
    <t>Nutbreite / Schnur</t>
  </si>
  <si>
    <t>Ueblicher Bereich fuer einen axialen Einbauraum</t>
  </si>
  <si>
    <t>Verpressung Anschlag</t>
  </si>
  <si>
    <t>Metall gegen Glas. Schuetzt beim Zusammenbau, nicht im Betrieb</t>
  </si>
  <si>
    <t>Blende buendig</t>
  </si>
  <si>
    <t>Bett gleich Blendendicke, dann druckt die Feder Blende und Kragen gemeinsam ans Glas</t>
  </si>
  <si>
    <t>Innensteg</t>
  </si>
  <si>
    <t>Alu zwischen Isoliertasche und Nut. Traegt nur die Nutwand</t>
  </si>
  <si>
    <t>Aussensteg bis Glasfase</t>
  </si>
  <si>
    <t>Hier muss noch ebenes Glas ueber der Nut sein. Mindestens 0.5 mal Schnurstaerke</t>
  </si>
  <si>
    <t>Alu-Wand bis Bohrung</t>
  </si>
  <si>
    <t>Restwand nach aussen</t>
  </si>
  <si>
    <t>Passscheibe im Fenster</t>
  </si>
  <si>
    <t>Darunter oder darueber muss die Tasche nachgedreht werden</t>
  </si>
  <si>
    <t>Luft am Taschenrand</t>
  </si>
  <si>
    <t>Der GFK-Ring darf nicht ueber den Alu-Rand stehen und nicht daran anliegen</t>
  </si>
  <si>
    <t>Federweg ueber Blockmass</t>
  </si>
  <si>
    <t>Die Feder darf auch im Ueberlastfall nicht auf Block gehen, sonst wird sie ein Anschlag</t>
  </si>
  <si>
    <t>Pressung der Feder</t>
  </si>
  <si>
    <t>Feder gegen Glas. Weich genug, um die Masskette nicht zu stoeren</t>
  </si>
  <si>
    <t>Hinweise</t>
  </si>
  <si>
    <t>O-Ring. Die Wahl ist durch den Platz erzwungen. Mit r_iso_a 26.00 und der Glasfase ab</t>
  </si>
  <si>
    <t>r 29.50 liegt das Fenster fuer d1_oring zwischen 54.0 und 54.3 mm. Es passt nur 54 x 1.5.</t>
  </si>
  <si>
    <t>Keine Dehnung einbauen. Die Nut oeffnet nach oben, der Ring faellt hinein.</t>
  </si>
  <si>
    <t>Rauheit: Dichtflaechen Rz &lt;= 6.3 Mikrometer, Nutboden Rz &lt;= 16.</t>
  </si>
  <si>
    <t>Passscheibe. NICHT vorher fertigen. Erst trocken zusammenbauen, ohne O-Ring und ohne</t>
  </si>
  <si>
    <t>Scheibe, Glas auf den Alusteg druecken, dann mit der Tiefenmessschraube ueber den</t>
  </si>
  <si>
    <t>Alu-Rand messen, wie tief die GFK-Oberseite darunter liegt. Dieses Mass heisst m.</t>
  </si>
  <si>
    <t>Dann gilt  Scheibe = k_scheibe - m. Diese eine Messung erfasst alle fuenf Toleranzen</t>
  </si>
  <si>
    <t>der Masskette, nicht nur die Glasfusshoehe.</t>
  </si>
  <si>
    <t>Form: Ringscheibe r 32.2 bis 42.4, neun Loecher Durchmesser 4.0 auf Lochkreis r 38,</t>
  </si>
  <si>
    <t>Dicke geschliffen auf +/- 0.01, eben. Sie steht unter bis zu 12 kN.</t>
  </si>
  <si>
    <t>Glasfusshoehe an drei bis vier Stellen rundherum messen. Mehr als 0.05 mm</t>
  </si>
  <si>
    <t>Unparallelitaet zwischen Bodenflaeche und Fussoberseite stellt das Glas schief.</t>
  </si>
  <si>
    <t>Anschlagreihenfolge: wer bestimmt die Glaslage?</t>
  </si>
  <si>
    <t>Die Glaslage darf von genau einem Bauteil bestimmt werden. Liegen zwei starre</t>
  </si>
  <si>
    <t>Anschlaege auf derselben Hoehe, entscheidet die Toleranz, welcher traegt, und der</t>
  </si>
  <si>
    <t>andere tut nichts. Deshalb diese Reihenfolge mit Abstand dazwischen.</t>
  </si>
  <si>
    <t>Anschlag</t>
  </si>
  <si>
    <t>ab Glasunterseite</t>
  </si>
  <si>
    <t>Spalt t</t>
  </si>
  <si>
    <t>Rolle</t>
  </si>
  <si>
    <t>Oberer GFK-Ring auf Passscheibe</t>
  </si>
  <si>
    <t>0</t>
  </si>
  <si>
    <t>AUSLEGUNG. Metall gegen Metall, die Schraubenkraft geht ins Aluminium</t>
  </si>
  <si>
    <t>Alu-Anschlagsteg gegen Glas</t>
  </si>
  <si>
    <t>UEBERLAST. Metall gegen Glas, schuetzt beim Zusammenbau. Nut laeuft heiss voll</t>
  </si>
  <si>
    <t>Isolierring auf Feder</t>
  </si>
  <si>
    <t>-</t>
  </si>
  <si>
    <t>KEIN ANSCHLAG. Die Feder gibt nach und folgt dem Glas in jede Lage</t>
  </si>
  <si>
    <t>Befund vom 11.10.2026. Mit dem Isolierring auf Kragen 1.00 in einer 1.00 tiefen Tasche</t>
  </si>
  <si>
    <t>lag seine Oberseite genau auf der Glasunterseite, also auf derselben Hoehe wie der</t>
  </si>
  <si>
    <t>obere GFK-Ring in seiner Tasche. Zwei starre Anschlaege auf einer Hoehe, und der</t>
  </si>
  <si>
    <t>Alusteg 0.15 mm darunter war unerreichbar.</t>
  </si>
  <si>
    <t>Nachgeben kann der Isolierring nicht:</t>
  </si>
  <si>
    <t xml:space="preserve">   Macor         bei 265 N 0.025 um, bei 12 kN 1.12 um, Bruchlast 55.3 kN</t>
  </si>
  <si>
    <t xml:space="preserve">   GFK senkrecht bei 265 N 0.165 um, bei 12 kN 7.49 um, Bruchlast 64.1 kN</t>
  </si>
  <si>
    <t>Fuer 0.15 mm Stauchung braeuchte Macor 10 GPa, das Tausendfache seiner Festigkeit.</t>
  </si>
  <si>
    <t>Ein Luftspalt von 0.10 mm genuegte auch nicht, weil er den Kragen nur auf y 2.60 hebt</t>
  </si>
  <si>
    <t>und der Steg bei 2.55 sitzt. Noetig waere mehr als sp_steg. Geloest ueber die Feder,</t>
  </si>
  <si>
    <t>denn ein weiches Element kann grundsaetzlich kein Anschlag sein.</t>
  </si>
  <si>
    <t>Damit entfiel die Pruefung 'Pressung Isolierring' mit 1.654 MPa aus v5 und v6. Sie</t>
  </si>
  <si>
    <t>beschrieb einen Lastpfad durch die Keramik, der jetzt absichtlich leer ist.</t>
  </si>
  <si>
    <t>Aenderungsverzeichnis. Zeilennummern sind Teil der Schnittstelle zu Inventor.</t>
  </si>
  <si>
    <t>Version</t>
  </si>
  <si>
    <t>Art</t>
  </si>
  <si>
    <t>Parameter</t>
  </si>
  <si>
    <t>Was und warum</t>
  </si>
  <si>
    <t>v5</t>
  </si>
  <si>
    <t>Stand</t>
  </si>
  <si>
    <t>28 Parameter</t>
  </si>
  <si>
    <t>Block A2 bis D29. O-Ring 54 x 1.5, Isolierring als Anschlag.</t>
  </si>
  <si>
    <t>v6</t>
  </si>
  <si>
    <t>FEHLER</t>
  </si>
  <si>
    <t>18 Parameter</t>
  </si>
  <si>
    <t>Neue Parameter wurden MITTEN in den Block eingefuegt. Dadurch wechselten 18 von 28 Parametern die Zeile, unter anderem t_steg von 24 auf 30. Inventor verlor die Zuordnung, Modell unbrauchbar. Nicht verwenden.</t>
  </si>
  <si>
    <t>v7</t>
  </si>
  <si>
    <t>Regel</t>
  </si>
  <si>
    <t>Zeilen 2 bis 29</t>
  </si>
  <si>
    <t>Eingefroren auf die v5-Namen in v5-Reihenfolge. Das Bauskript bricht ab, wenn das nicht stimmt. Neues kommt nur ab Zeile 30 dazu, gruen hinterlegt.</t>
  </si>
  <si>
    <t>0.35 auf 0.30. Bett gleich Blendendicke, Blende liegt buendig zum Kragen. Dadurch wird sp_blende null, h_iso_unten 0.70.</t>
  </si>
  <si>
    <t>Neu</t>
  </si>
  <si>
    <t>fw_iso .. h_gfk_senk</t>
  </si>
  <si>
    <t>Sechs Eingaben in den Zeilen 30 bis 35 fuer Federraum, Glasfusshoehe und die Masse der GFK-Tasche.</t>
  </si>
  <si>
    <t>h_tasche_iso .. luft_rand</t>
  </si>
  <si>
    <t>Fuenf Rechenwerte in den Zeilen 36 bis 40 fuer Federweg und Passscheibe.</t>
  </si>
  <si>
    <t>Entfaellt</t>
  </si>
  <si>
    <t>Pruefung p_kragen</t>
  </si>
  <si>
    <t>Pressung Isolierring 1.654 MPa. Der Lastpfad durch die Keramik ist jetzt leer, siehe Blatt Anschlaege.</t>
  </si>
  <si>
    <t>Geometrie</t>
  </si>
  <si>
    <t>Ring unten</t>
  </si>
  <si>
    <t>Isoliertaschenboden y 1.70 auf 1.20, GFK-Tasche 6.00 auf 6.40.</t>
  </si>
  <si>
    <t>GFK-Ring oben</t>
  </si>
  <si>
    <t>Freimachung fuer die drei M3x16, Kopf soll auf Alu aufliegen.</t>
  </si>
  <si>
    <t>Neuteil</t>
  </si>
  <si>
    <t>Passscheibe</t>
  </si>
  <si>
    <t>r 32.2 bis 42.4, neun Loecher Durchmesser 4.0 auf r 38, Dicke nach Messung.</t>
  </si>
  <si>
    <t>v8</t>
  </si>
  <si>
    <t>Zeile 41. Isoliertaschentiefe ab Anschlagsteg, 1.35 mm. h_tasche_iso 1.50 zaehlt ab Glasunterseite und ist keine Flaeche am Alu-Ring, taugt also nicht als Zeichnungsmass. Zeilen 2 bis 40 unveraendert.</t>
  </si>
  <si>
    <t>0.25 auf 0.15. Blechdicke der gewaehlten Wellenfeder.</t>
  </si>
  <si>
    <t>5.0 auf 3.5 N. Rechenwert der Wellenfeder bei Arbeitshoehe 0.50.</t>
  </si>
  <si>
    <t>Festgelegt</t>
  </si>
  <si>
    <t>Feder</t>
  </si>
  <si>
    <t>Einlagige Wellenfeder Oe48.4/51.6, Dicke 0.15, 12 Wellen, freie Hoehe 0.65, Arbeitshoehe 0.50, Rate 23 N/mm. Keine Bohrungen im Taschenboden.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</si>
</sst>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0" borderId="1" xfId="0" applyFont="1" applyBorder="1"/>
    <xf numFmtId="164" fontId="3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5" fontId="3" fillId="3" borderId="0" xfId="0" applyNumberFormat="1" applyFont="1" applyFill="1"/>
    <xf numFmtId="164" fontId="2" fillId="0" borderId="0" xfId="0" applyNumberFormat="1" applyFont="1"/>
    <xf numFmtId="166" fontId="3" fillId="3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/>
    <xf numFmtId="2" fontId="2" fillId="0" borderId="1" xfId="0" applyNumberFormat="1" applyFont="1" applyBorder="1"/>
    <xf numFmtId="0" fontId="6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9" activeCellId="1" sqref="D28 D9"/>
    </sheetView>
  </sheetViews>
  <sheetFormatPr baseColWidth="10" defaultColWidth="8.88671875" defaultRowHeight="14.4" x14ac:dyDescent="0.3"/>
  <cols>
    <col min="1" max="1" width="17" customWidth="1"/>
    <col min="2" max="2" width="11" customWidth="1"/>
    <col min="3" max="3" width="9" customWidth="1"/>
    <col min="4" max="4" width="64" customWidth="1"/>
    <col min="5" max="5" width="3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x14ac:dyDescent="0.3">
      <c r="A2" s="3" t="s">
        <v>5</v>
      </c>
      <c r="B2" s="4">
        <v>54</v>
      </c>
      <c r="C2" s="5" t="s">
        <v>6</v>
      </c>
      <c r="D2" s="3" t="s">
        <v>7</v>
      </c>
      <c r="F2" s="6" t="s">
        <v>8</v>
      </c>
    </row>
    <row r="3" spans="1:6" x14ac:dyDescent="0.3">
      <c r="A3" s="3" t="s">
        <v>9</v>
      </c>
      <c r="B3" s="4">
        <v>1.5</v>
      </c>
      <c r="C3" s="5" t="s">
        <v>6</v>
      </c>
      <c r="D3" s="3" t="s">
        <v>10</v>
      </c>
      <c r="F3" s="6" t="s">
        <v>11</v>
      </c>
    </row>
    <row r="4" spans="1:6" x14ac:dyDescent="0.3">
      <c r="A4" s="3" t="s">
        <v>12</v>
      </c>
      <c r="B4" s="4">
        <v>1.1499999999999999</v>
      </c>
      <c r="C4" s="5" t="s">
        <v>6</v>
      </c>
      <c r="D4" s="3" t="s">
        <v>13</v>
      </c>
      <c r="F4" s="6" t="s">
        <v>14</v>
      </c>
    </row>
    <row r="5" spans="1:6" x14ac:dyDescent="0.3">
      <c r="A5" s="3" t="s">
        <v>15</v>
      </c>
      <c r="B5" s="4">
        <v>2.1</v>
      </c>
      <c r="C5" s="5" t="s">
        <v>6</v>
      </c>
      <c r="D5" s="3" t="s">
        <v>16</v>
      </c>
      <c r="F5" s="6"/>
    </row>
    <row r="6" spans="1:6" x14ac:dyDescent="0.3">
      <c r="A6" s="3" t="s">
        <v>17</v>
      </c>
      <c r="B6" s="4">
        <v>0.1</v>
      </c>
      <c r="C6" s="5" t="s">
        <v>6</v>
      </c>
      <c r="D6" s="3" t="s">
        <v>18</v>
      </c>
      <c r="F6" s="6" t="s">
        <v>19</v>
      </c>
    </row>
    <row r="7" spans="1:6" x14ac:dyDescent="0.3">
      <c r="A7" s="3" t="s">
        <v>20</v>
      </c>
      <c r="B7" s="4">
        <v>0.15</v>
      </c>
      <c r="C7" s="5" t="s">
        <v>6</v>
      </c>
      <c r="D7" s="3" t="s">
        <v>21</v>
      </c>
      <c r="F7" s="6" t="s">
        <v>22</v>
      </c>
    </row>
    <row r="8" spans="1:6" x14ac:dyDescent="0.3">
      <c r="A8" s="3" t="s">
        <v>23</v>
      </c>
      <c r="B8" s="4">
        <v>0.25</v>
      </c>
      <c r="C8" s="5" t="s">
        <v>6</v>
      </c>
      <c r="D8" s="3" t="s">
        <v>24</v>
      </c>
      <c r="F8" s="6" t="s">
        <v>25</v>
      </c>
    </row>
    <row r="9" spans="1:6" x14ac:dyDescent="0.3">
      <c r="A9" s="3" t="s">
        <v>26</v>
      </c>
      <c r="B9" s="4">
        <v>0.3</v>
      </c>
      <c r="C9" s="5" t="s">
        <v>6</v>
      </c>
      <c r="D9" s="3" t="s">
        <v>27</v>
      </c>
      <c r="F9" s="6" t="s">
        <v>28</v>
      </c>
    </row>
    <row r="10" spans="1:6" x14ac:dyDescent="0.3">
      <c r="A10" s="3" t="s">
        <v>29</v>
      </c>
      <c r="B10" s="4">
        <v>0.3</v>
      </c>
      <c r="C10" s="5" t="s">
        <v>6</v>
      </c>
      <c r="D10" s="3" t="s">
        <v>30</v>
      </c>
      <c r="F10" s="6" t="s">
        <v>31</v>
      </c>
    </row>
    <row r="11" spans="1:6" x14ac:dyDescent="0.3">
      <c r="A11" s="3" t="s">
        <v>32</v>
      </c>
      <c r="B11" s="4">
        <v>1</v>
      </c>
      <c r="C11" s="5" t="s">
        <v>6</v>
      </c>
      <c r="D11" s="3" t="s">
        <v>33</v>
      </c>
      <c r="F11" s="6"/>
    </row>
    <row r="12" spans="1:6" x14ac:dyDescent="0.3">
      <c r="A12" s="3" t="s">
        <v>34</v>
      </c>
      <c r="B12" s="4">
        <v>24</v>
      </c>
      <c r="C12" s="5" t="s">
        <v>6</v>
      </c>
      <c r="D12" s="3" t="s">
        <v>35</v>
      </c>
      <c r="F12" s="6" t="s">
        <v>36</v>
      </c>
    </row>
    <row r="13" spans="1:6" x14ac:dyDescent="0.3">
      <c r="A13" s="3" t="s">
        <v>37</v>
      </c>
      <c r="B13" s="4">
        <v>25</v>
      </c>
      <c r="C13" s="5" t="s">
        <v>6</v>
      </c>
      <c r="D13" s="3" t="s">
        <v>38</v>
      </c>
      <c r="F13" s="6" t="s">
        <v>39</v>
      </c>
    </row>
    <row r="14" spans="1:6" x14ac:dyDescent="0.3">
      <c r="A14" s="3" t="s">
        <v>40</v>
      </c>
      <c r="B14" s="4">
        <v>26</v>
      </c>
      <c r="C14" s="5" t="s">
        <v>6</v>
      </c>
      <c r="D14" s="3" t="s">
        <v>41</v>
      </c>
      <c r="F14" s="6" t="s">
        <v>42</v>
      </c>
    </row>
    <row r="15" spans="1:6" x14ac:dyDescent="0.3">
      <c r="A15" s="3" t="s">
        <v>43</v>
      </c>
      <c r="B15" s="4">
        <v>29.5</v>
      </c>
      <c r="C15" s="5" t="s">
        <v>6</v>
      </c>
      <c r="D15" s="3" t="s">
        <v>44</v>
      </c>
      <c r="F15" s="6"/>
    </row>
    <row r="16" spans="1:6" x14ac:dyDescent="0.3">
      <c r="A16" s="3" t="s">
        <v>45</v>
      </c>
      <c r="B16" s="4">
        <v>32</v>
      </c>
      <c r="C16" s="5" t="s">
        <v>6</v>
      </c>
      <c r="D16" s="3" t="s">
        <v>46</v>
      </c>
      <c r="F16" s="6" t="s">
        <v>47</v>
      </c>
    </row>
    <row r="17" spans="1:6" x14ac:dyDescent="0.3">
      <c r="A17" s="3" t="s">
        <v>48</v>
      </c>
      <c r="B17" s="7">
        <f>(B2+B3)/2</f>
        <v>27.75</v>
      </c>
      <c r="C17" s="5" t="s">
        <v>6</v>
      </c>
      <c r="D17" s="3" t="s">
        <v>49</v>
      </c>
      <c r="F17" s="6" t="s">
        <v>50</v>
      </c>
    </row>
    <row r="18" spans="1:6" x14ac:dyDescent="0.3">
      <c r="A18" s="3" t="s">
        <v>51</v>
      </c>
      <c r="B18" s="7">
        <f>B2/2+B3</f>
        <v>28.5</v>
      </c>
      <c r="C18" s="5" t="s">
        <v>6</v>
      </c>
      <c r="D18" s="3" t="s">
        <v>52</v>
      </c>
      <c r="F18" s="6" t="s">
        <v>53</v>
      </c>
    </row>
    <row r="19" spans="1:6" x14ac:dyDescent="0.3">
      <c r="A19" s="3" t="s">
        <v>54</v>
      </c>
      <c r="B19" s="7">
        <f>B18+B6</f>
        <v>28.6</v>
      </c>
      <c r="C19" s="5" t="s">
        <v>6</v>
      </c>
      <c r="D19" s="3" t="s">
        <v>55</v>
      </c>
      <c r="F19" s="6"/>
    </row>
    <row r="20" spans="1:6" x14ac:dyDescent="0.3">
      <c r="A20" s="3" t="s">
        <v>56</v>
      </c>
      <c r="B20" s="7">
        <f>B19-B5</f>
        <v>26.5</v>
      </c>
      <c r="C20" s="5" t="s">
        <v>6</v>
      </c>
      <c r="D20" s="3" t="s">
        <v>57</v>
      </c>
      <c r="F20" s="6" t="s">
        <v>58</v>
      </c>
    </row>
    <row r="21" spans="1:6" x14ac:dyDescent="0.3">
      <c r="A21" s="3" t="s">
        <v>59</v>
      </c>
      <c r="B21" s="7">
        <f>B4/2</f>
        <v>0.57499999999999996</v>
      </c>
      <c r="C21" s="5" t="s">
        <v>6</v>
      </c>
      <c r="D21" s="3" t="s">
        <v>60</v>
      </c>
      <c r="F21" s="6" t="s">
        <v>61</v>
      </c>
    </row>
    <row r="22" spans="1:6" x14ac:dyDescent="0.3">
      <c r="A22" s="3" t="s">
        <v>62</v>
      </c>
      <c r="B22" s="7">
        <f>B3^2/(2*B4)</f>
        <v>0.97826086956521752</v>
      </c>
      <c r="C22" s="5" t="s">
        <v>6</v>
      </c>
      <c r="D22" s="3" t="s">
        <v>63</v>
      </c>
      <c r="F22" s="6" t="s">
        <v>64</v>
      </c>
    </row>
    <row r="23" spans="1:6" x14ac:dyDescent="0.3">
      <c r="A23" s="3" t="s">
        <v>65</v>
      </c>
      <c r="B23" s="7">
        <f>B19-B22</f>
        <v>27.621739130434783</v>
      </c>
      <c r="C23" s="5" t="s">
        <v>6</v>
      </c>
      <c r="D23" s="3" t="s">
        <v>66</v>
      </c>
      <c r="F23" s="6"/>
    </row>
    <row r="24" spans="1:6" x14ac:dyDescent="0.3">
      <c r="A24" s="3" t="s">
        <v>67</v>
      </c>
      <c r="B24" s="7">
        <f>B4-B7</f>
        <v>0.99999999999999989</v>
      </c>
      <c r="C24" s="5" t="s">
        <v>6</v>
      </c>
      <c r="D24" s="3" t="s">
        <v>68</v>
      </c>
      <c r="F24" s="6" t="s">
        <v>69</v>
      </c>
    </row>
    <row r="25" spans="1:6" x14ac:dyDescent="0.3">
      <c r="A25" s="3" t="s">
        <v>70</v>
      </c>
      <c r="B25" s="7">
        <f>B10-B9</f>
        <v>0</v>
      </c>
      <c r="C25" s="5" t="s">
        <v>6</v>
      </c>
      <c r="D25" s="3" t="s">
        <v>71</v>
      </c>
      <c r="F25" s="6" t="s">
        <v>72</v>
      </c>
    </row>
    <row r="26" spans="1:6" x14ac:dyDescent="0.3">
      <c r="A26" s="3" t="s">
        <v>73</v>
      </c>
      <c r="B26" s="7">
        <f>B11-B10</f>
        <v>0.7</v>
      </c>
      <c r="C26" s="5" t="s">
        <v>6</v>
      </c>
      <c r="D26" s="3" t="s">
        <v>74</v>
      </c>
      <c r="F26" s="6" t="s">
        <v>75</v>
      </c>
    </row>
    <row r="27" spans="1:6" x14ac:dyDescent="0.3">
      <c r="A27" s="3" t="s">
        <v>76</v>
      </c>
      <c r="B27" s="7">
        <f>(B3-B4)/B3</f>
        <v>0.23333333333333339</v>
      </c>
      <c r="C27" s="5" t="s">
        <v>77</v>
      </c>
      <c r="D27" s="3" t="s">
        <v>78</v>
      </c>
      <c r="F27" s="6" t="s">
        <v>79</v>
      </c>
    </row>
    <row r="28" spans="1:6" x14ac:dyDescent="0.3">
      <c r="A28" s="3" t="s">
        <v>80</v>
      </c>
      <c r="B28" s="7">
        <f>(B3-B24)/B3</f>
        <v>0.33333333333333343</v>
      </c>
      <c r="C28" s="5" t="s">
        <v>77</v>
      </c>
      <c r="D28" s="3" t="s">
        <v>81</v>
      </c>
      <c r="F28" s="6"/>
    </row>
    <row r="29" spans="1:6" x14ac:dyDescent="0.3">
      <c r="A29" s="3" t="s">
        <v>82</v>
      </c>
      <c r="B29" s="7">
        <f>PI()*B3^2/4/(B5*B4)</f>
        <v>0.73173741931439285</v>
      </c>
      <c r="C29" s="5" t="s">
        <v>77</v>
      </c>
      <c r="D29" s="3" t="s">
        <v>83</v>
      </c>
      <c r="F29" s="6" t="s">
        <v>84</v>
      </c>
    </row>
    <row r="30" spans="1:6" x14ac:dyDescent="0.3">
      <c r="A30" s="3" t="s">
        <v>85</v>
      </c>
      <c r="B30" s="4">
        <v>0.5</v>
      </c>
      <c r="C30" s="5" t="s">
        <v>6</v>
      </c>
      <c r="D30" s="3" t="s">
        <v>86</v>
      </c>
    </row>
    <row r="31" spans="1:6" x14ac:dyDescent="0.3">
      <c r="A31" s="3" t="s">
        <v>87</v>
      </c>
      <c r="B31" s="4">
        <v>10.199999999999999</v>
      </c>
      <c r="C31" s="5" t="s">
        <v>6</v>
      </c>
      <c r="D31" s="3" t="s">
        <v>88</v>
      </c>
    </row>
    <row r="32" spans="1:6" x14ac:dyDescent="0.3">
      <c r="A32" s="3" t="s">
        <v>89</v>
      </c>
      <c r="B32" s="4">
        <v>15.45</v>
      </c>
      <c r="C32" s="5" t="s">
        <v>6</v>
      </c>
      <c r="D32" s="3" t="s">
        <v>90</v>
      </c>
    </row>
    <row r="33" spans="1:4" x14ac:dyDescent="0.3">
      <c r="A33" s="3" t="s">
        <v>91</v>
      </c>
      <c r="B33" s="4">
        <v>6.4</v>
      </c>
      <c r="C33" s="5" t="s">
        <v>6</v>
      </c>
      <c r="D33" s="3" t="s">
        <v>92</v>
      </c>
    </row>
    <row r="34" spans="1:4" x14ac:dyDescent="0.3">
      <c r="A34" s="3" t="s">
        <v>93</v>
      </c>
      <c r="B34" s="4">
        <v>5.9</v>
      </c>
      <c r="C34" s="5" t="s">
        <v>6</v>
      </c>
      <c r="D34" s="3" t="s">
        <v>94</v>
      </c>
    </row>
    <row r="35" spans="1:4" x14ac:dyDescent="0.3">
      <c r="A35" s="3" t="s">
        <v>95</v>
      </c>
      <c r="B35" s="4">
        <v>0.9</v>
      </c>
      <c r="C35" s="5" t="s">
        <v>6</v>
      </c>
      <c r="D35" s="3" t="s">
        <v>96</v>
      </c>
    </row>
    <row r="36" spans="1:4" x14ac:dyDescent="0.3">
      <c r="A36" s="3" t="s">
        <v>97</v>
      </c>
      <c r="B36" s="7">
        <f>B11+B30</f>
        <v>1.5</v>
      </c>
      <c r="C36" s="5" t="s">
        <v>6</v>
      </c>
      <c r="D36" s="3" t="s">
        <v>98</v>
      </c>
    </row>
    <row r="37" spans="1:4" x14ac:dyDescent="0.3">
      <c r="A37" s="3" t="s">
        <v>99</v>
      </c>
      <c r="B37" s="7">
        <f>B30-B7</f>
        <v>0.35</v>
      </c>
      <c r="C37" s="5" t="s">
        <v>6</v>
      </c>
      <c r="D37" s="3" t="s">
        <v>100</v>
      </c>
    </row>
    <row r="38" spans="1:4" x14ac:dyDescent="0.3">
      <c r="A38" s="3" t="s">
        <v>101</v>
      </c>
      <c r="B38" s="7">
        <f>(B31-B35)-(B32-B7-B33)</f>
        <v>0.40000000000000036</v>
      </c>
      <c r="C38" s="5" t="s">
        <v>6</v>
      </c>
      <c r="D38" s="3" t="s">
        <v>102</v>
      </c>
    </row>
    <row r="39" spans="1:4" x14ac:dyDescent="0.3">
      <c r="A39" s="3" t="s">
        <v>103</v>
      </c>
      <c r="B39" s="7">
        <f>B33-B34+B7</f>
        <v>0.65</v>
      </c>
      <c r="C39" s="5" t="s">
        <v>6</v>
      </c>
      <c r="D39" s="3" t="s">
        <v>104</v>
      </c>
    </row>
    <row r="40" spans="1:4" x14ac:dyDescent="0.3">
      <c r="A40" s="3" t="s">
        <v>105</v>
      </c>
      <c r="B40" s="7">
        <f>B33-B34-B38</f>
        <v>9.9999999999999645E-2</v>
      </c>
      <c r="C40" s="5" t="s">
        <v>6</v>
      </c>
      <c r="D40" s="3" t="s">
        <v>106</v>
      </c>
    </row>
    <row r="41" spans="1:4" x14ac:dyDescent="0.3">
      <c r="A41" s="8" t="s">
        <v>107</v>
      </c>
      <c r="B41" s="9">
        <f>B36-B7</f>
        <v>1.35</v>
      </c>
      <c r="C41" s="10" t="s">
        <v>6</v>
      </c>
      <c r="D41" s="8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/>
  </sheetViews>
  <sheetFormatPr baseColWidth="10" defaultColWidth="8.88671875" defaultRowHeight="14.4" x14ac:dyDescent="0.3"/>
  <cols>
    <col min="1" max="1" width="26" customWidth="1"/>
    <col min="2" max="2" width="13" customWidth="1"/>
    <col min="3" max="3" width="9" customWidth="1"/>
    <col min="4" max="5" width="11" customWidth="1"/>
    <col min="6" max="6" width="12" customWidth="1"/>
    <col min="7" max="7" width="62" customWidth="1"/>
  </cols>
  <sheetData>
    <row r="1" spans="1:4" ht="15.6" x14ac:dyDescent="0.3">
      <c r="A1" s="11" t="s">
        <v>109</v>
      </c>
    </row>
    <row r="2" spans="1:4" x14ac:dyDescent="0.3">
      <c r="A2" s="6" t="s">
        <v>110</v>
      </c>
    </row>
    <row r="4" spans="1:4" x14ac:dyDescent="0.3">
      <c r="A4" s="12" t="s">
        <v>111</v>
      </c>
    </row>
    <row r="5" spans="1:4" x14ac:dyDescent="0.3">
      <c r="A5" s="6" t="s">
        <v>112</v>
      </c>
      <c r="B5" s="13">
        <v>2.2000000000000001E-4</v>
      </c>
      <c r="C5" s="6" t="s">
        <v>113</v>
      </c>
      <c r="D5" s="6" t="s">
        <v>114</v>
      </c>
    </row>
    <row r="6" spans="1:4" x14ac:dyDescent="0.3">
      <c r="A6" s="6" t="s">
        <v>115</v>
      </c>
      <c r="B6" s="13">
        <v>2.3600000000000001E-5</v>
      </c>
      <c r="C6" s="6" t="s">
        <v>113</v>
      </c>
      <c r="D6" s="6" t="s">
        <v>116</v>
      </c>
    </row>
    <row r="7" spans="1:4" x14ac:dyDescent="0.3">
      <c r="A7" s="6" t="s">
        <v>117</v>
      </c>
      <c r="B7" s="13">
        <v>280</v>
      </c>
      <c r="C7" s="6" t="s">
        <v>118</v>
      </c>
      <c r="D7" s="6" t="s">
        <v>119</v>
      </c>
    </row>
    <row r="9" spans="1:4" x14ac:dyDescent="0.3">
      <c r="A9" s="6" t="s">
        <v>120</v>
      </c>
      <c r="B9" s="14">
        <f>Parameter!B29*(1+3*B5*B7)/(1+3*B6*B7)</f>
        <v>0.8501099154400098</v>
      </c>
      <c r="C9" s="6" t="s">
        <v>77</v>
      </c>
      <c r="D9" s="6" t="s">
        <v>121</v>
      </c>
    </row>
    <row r="10" spans="1:4" x14ac:dyDescent="0.3">
      <c r="A10" s="6" t="s">
        <v>122</v>
      </c>
      <c r="B10" s="14">
        <f>PI()*Parameter!B3^2/4/(Parameter!B5*Parameter!B24)*(1+3*B5*B7)/(1+3*B6*B7)</f>
        <v>0.97762640275601143</v>
      </c>
      <c r="C10" s="6" t="s">
        <v>77</v>
      </c>
      <c r="D10" s="6" t="s">
        <v>123</v>
      </c>
    </row>
    <row r="12" spans="1:4" x14ac:dyDescent="0.3">
      <c r="A12" s="12" t="s">
        <v>124</v>
      </c>
    </row>
    <row r="13" spans="1:4" x14ac:dyDescent="0.3">
      <c r="A13" s="6" t="s">
        <v>125</v>
      </c>
      <c r="B13" s="15">
        <v>265</v>
      </c>
      <c r="C13" s="6" t="s">
        <v>126</v>
      </c>
      <c r="D13" s="6" t="s">
        <v>127</v>
      </c>
    </row>
    <row r="14" spans="1:4" x14ac:dyDescent="0.3">
      <c r="A14" s="6" t="s">
        <v>128</v>
      </c>
      <c r="B14" s="15">
        <v>3.5</v>
      </c>
      <c r="C14" s="6" t="s">
        <v>126</v>
      </c>
      <c r="D14" s="6" t="s">
        <v>129</v>
      </c>
    </row>
    <row r="15" spans="1:4" x14ac:dyDescent="0.3">
      <c r="A15" s="6" t="s">
        <v>130</v>
      </c>
      <c r="B15" s="15">
        <v>0.15</v>
      </c>
      <c r="C15" s="6" t="s">
        <v>6</v>
      </c>
      <c r="D15" s="6" t="s">
        <v>131</v>
      </c>
    </row>
    <row r="17" spans="1:7" x14ac:dyDescent="0.3">
      <c r="A17" s="6" t="s">
        <v>132</v>
      </c>
      <c r="B17" s="16">
        <f>PI()*(Parameter!B14^2-Parameter!B13^2)</f>
        <v>160.22122533307945</v>
      </c>
      <c r="C17" s="6" t="s">
        <v>133</v>
      </c>
      <c r="D17" s="6" t="s">
        <v>134</v>
      </c>
    </row>
    <row r="18" spans="1:7" x14ac:dyDescent="0.3">
      <c r="A18" s="6" t="s">
        <v>135</v>
      </c>
      <c r="B18" s="16">
        <f>PI()*(Parameter!B13^2-Parameter!B12^2)</f>
        <v>153.93804002589985</v>
      </c>
      <c r="C18" s="6" t="s">
        <v>133</v>
      </c>
      <c r="D18" s="6" t="s">
        <v>136</v>
      </c>
    </row>
    <row r="19" spans="1:7" x14ac:dyDescent="0.3">
      <c r="A19" s="6" t="s">
        <v>137</v>
      </c>
      <c r="B19" s="17">
        <f>B14/MIN(B17,B18)</f>
        <v>2.2736420441699337E-2</v>
      </c>
      <c r="C19" s="6" t="s">
        <v>138</v>
      </c>
      <c r="D19" s="6" t="s">
        <v>139</v>
      </c>
    </row>
    <row r="21" spans="1:7" x14ac:dyDescent="0.3">
      <c r="A21" s="12" t="s">
        <v>140</v>
      </c>
    </row>
    <row r="22" spans="1:7" x14ac:dyDescent="0.3">
      <c r="A22" s="1" t="s">
        <v>141</v>
      </c>
      <c r="B22" s="1" t="s">
        <v>1</v>
      </c>
      <c r="C22" s="1" t="s">
        <v>2</v>
      </c>
      <c r="D22" s="1" t="s">
        <v>142</v>
      </c>
      <c r="E22" s="1" t="s">
        <v>143</v>
      </c>
      <c r="F22" s="1" t="s">
        <v>144</v>
      </c>
      <c r="G22" s="1" t="s">
        <v>145</v>
      </c>
    </row>
    <row r="23" spans="1:7" x14ac:dyDescent="0.3">
      <c r="A23" s="3" t="s">
        <v>146</v>
      </c>
      <c r="B23" s="18">
        <f>Parameter!B27</f>
        <v>0.23333333333333339</v>
      </c>
      <c r="C23" s="3" t="s">
        <v>77</v>
      </c>
      <c r="D23" s="19">
        <v>0.2</v>
      </c>
      <c r="E23" s="19">
        <v>0.25</v>
      </c>
      <c r="F23" s="20" t="str">
        <f t="shared" ref="F23:F36" si="0">IF(AND(B23&gt;=D23,B23&lt;=E23),"ok","PRUEFEN")</f>
        <v>ok</v>
      </c>
      <c r="G23" s="3" t="s">
        <v>147</v>
      </c>
    </row>
    <row r="24" spans="1:7" x14ac:dyDescent="0.3">
      <c r="A24" s="3" t="s">
        <v>148</v>
      </c>
      <c r="B24" s="18">
        <f>Parameter!B29</f>
        <v>0.73173741931439285</v>
      </c>
      <c r="C24" s="3" t="s">
        <v>77</v>
      </c>
      <c r="D24" s="19">
        <v>0.6</v>
      </c>
      <c r="E24" s="19">
        <v>0.75</v>
      </c>
      <c r="F24" s="20" t="str">
        <f t="shared" si="0"/>
        <v>ok</v>
      </c>
      <c r="G24" s="3" t="s">
        <v>149</v>
      </c>
    </row>
    <row r="25" spans="1:7" x14ac:dyDescent="0.3">
      <c r="A25" s="3" t="s">
        <v>150</v>
      </c>
      <c r="B25" s="18">
        <f>B9</f>
        <v>0.8501099154400098</v>
      </c>
      <c r="C25" s="3" t="s">
        <v>77</v>
      </c>
      <c r="D25" s="19">
        <v>0.6</v>
      </c>
      <c r="E25" s="19">
        <v>0.9</v>
      </c>
      <c r="F25" s="20" t="str">
        <f t="shared" si="0"/>
        <v>ok</v>
      </c>
      <c r="G25" s="3" t="s">
        <v>151</v>
      </c>
    </row>
    <row r="26" spans="1:7" x14ac:dyDescent="0.3">
      <c r="A26" s="3" t="s">
        <v>152</v>
      </c>
      <c r="B26" s="18">
        <f>B10</f>
        <v>0.97762640275601143</v>
      </c>
      <c r="C26" s="3" t="s">
        <v>77</v>
      </c>
      <c r="D26" s="19">
        <v>0.6</v>
      </c>
      <c r="E26" s="19">
        <v>1.05</v>
      </c>
      <c r="F26" s="20" t="str">
        <f t="shared" si="0"/>
        <v>ok</v>
      </c>
      <c r="G26" s="3" t="s">
        <v>153</v>
      </c>
    </row>
    <row r="27" spans="1:7" x14ac:dyDescent="0.3">
      <c r="A27" s="3" t="s">
        <v>154</v>
      </c>
      <c r="B27" s="18">
        <f>Parameter!B5/Parameter!B3</f>
        <v>1.4000000000000001</v>
      </c>
      <c r="C27" s="3" t="s">
        <v>77</v>
      </c>
      <c r="D27" s="19">
        <v>1.2</v>
      </c>
      <c r="E27" s="19">
        <v>1.5</v>
      </c>
      <c r="F27" s="20" t="str">
        <f t="shared" si="0"/>
        <v>ok</v>
      </c>
      <c r="G27" s="3" t="s">
        <v>155</v>
      </c>
    </row>
    <row r="28" spans="1:7" x14ac:dyDescent="0.3">
      <c r="A28" s="3" t="s">
        <v>156</v>
      </c>
      <c r="B28" s="18">
        <f>Parameter!B28</f>
        <v>0.33333333333333343</v>
      </c>
      <c r="C28" s="3" t="s">
        <v>77</v>
      </c>
      <c r="D28" s="19">
        <v>0.2</v>
      </c>
      <c r="E28" s="19">
        <v>0.35</v>
      </c>
      <c r="F28" s="20" t="str">
        <f t="shared" si="0"/>
        <v>ok</v>
      </c>
      <c r="G28" s="3" t="s">
        <v>157</v>
      </c>
    </row>
    <row r="29" spans="1:7" x14ac:dyDescent="0.3">
      <c r="A29" s="3" t="s">
        <v>158</v>
      </c>
      <c r="B29" s="18">
        <f>ABS(Parameter!B25)</f>
        <v>0</v>
      </c>
      <c r="C29" s="3" t="s">
        <v>6</v>
      </c>
      <c r="D29" s="19">
        <v>0</v>
      </c>
      <c r="E29" s="19">
        <v>0.05</v>
      </c>
      <c r="F29" s="20" t="str">
        <f t="shared" si="0"/>
        <v>ok</v>
      </c>
      <c r="G29" s="3" t="s">
        <v>159</v>
      </c>
    </row>
    <row r="30" spans="1:7" x14ac:dyDescent="0.3">
      <c r="A30" s="3" t="s">
        <v>160</v>
      </c>
      <c r="B30" s="18">
        <f>Parameter!B20-Parameter!B14</f>
        <v>0.5</v>
      </c>
      <c r="C30" s="3" t="s">
        <v>6</v>
      </c>
      <c r="D30" s="19">
        <v>0.45</v>
      </c>
      <c r="E30" s="19">
        <v>3</v>
      </c>
      <c r="F30" s="20" t="str">
        <f t="shared" si="0"/>
        <v>ok</v>
      </c>
      <c r="G30" s="3" t="s">
        <v>161</v>
      </c>
    </row>
    <row r="31" spans="1:7" x14ac:dyDescent="0.3">
      <c r="A31" s="3" t="s">
        <v>162</v>
      </c>
      <c r="B31" s="18">
        <f>Parameter!B15-Parameter!B19</f>
        <v>0.89999999999999858</v>
      </c>
      <c r="C31" s="3" t="s">
        <v>6</v>
      </c>
      <c r="D31" s="19">
        <v>0.75</v>
      </c>
      <c r="E31" s="19">
        <v>3</v>
      </c>
      <c r="F31" s="20" t="str">
        <f t="shared" si="0"/>
        <v>ok</v>
      </c>
      <c r="G31" s="3" t="s">
        <v>163</v>
      </c>
    </row>
    <row r="32" spans="1:7" x14ac:dyDescent="0.3">
      <c r="A32" s="3" t="s">
        <v>164</v>
      </c>
      <c r="B32" s="18">
        <f>Parameter!B16-Parameter!B19</f>
        <v>3.3999999999999986</v>
      </c>
      <c r="C32" s="3" t="s">
        <v>6</v>
      </c>
      <c r="D32" s="19">
        <v>1</v>
      </c>
      <c r="E32" s="19">
        <v>10</v>
      </c>
      <c r="F32" s="20" t="str">
        <f t="shared" si="0"/>
        <v>ok</v>
      </c>
      <c r="G32" s="3" t="s">
        <v>165</v>
      </c>
    </row>
    <row r="33" spans="1:7" x14ac:dyDescent="0.3">
      <c r="A33" s="3" t="s">
        <v>166</v>
      </c>
      <c r="B33" s="18">
        <f>Parameter!B38</f>
        <v>0.40000000000000036</v>
      </c>
      <c r="C33" s="3" t="s">
        <v>6</v>
      </c>
      <c r="D33" s="19">
        <v>0.1</v>
      </c>
      <c r="E33" s="19">
        <v>0.6</v>
      </c>
      <c r="F33" s="20" t="str">
        <f t="shared" si="0"/>
        <v>ok</v>
      </c>
      <c r="G33" s="3" t="s">
        <v>167</v>
      </c>
    </row>
    <row r="34" spans="1:7" x14ac:dyDescent="0.3">
      <c r="A34" s="3" t="s">
        <v>168</v>
      </c>
      <c r="B34" s="18">
        <f>Parameter!B40</f>
        <v>9.9999999999999645E-2</v>
      </c>
      <c r="C34" s="3" t="s">
        <v>6</v>
      </c>
      <c r="D34" s="19">
        <v>0.05</v>
      </c>
      <c r="E34" s="19">
        <v>1</v>
      </c>
      <c r="F34" s="20" t="str">
        <f t="shared" si="0"/>
        <v>ok</v>
      </c>
      <c r="G34" s="3" t="s">
        <v>169</v>
      </c>
    </row>
    <row r="35" spans="1:7" x14ac:dyDescent="0.3">
      <c r="A35" s="3" t="s">
        <v>170</v>
      </c>
      <c r="B35" s="18">
        <f>Parameter!B37-B15</f>
        <v>0.19999999999999998</v>
      </c>
      <c r="C35" s="3" t="s">
        <v>6</v>
      </c>
      <c r="D35" s="19">
        <v>0.05</v>
      </c>
      <c r="E35" s="19">
        <v>1</v>
      </c>
      <c r="F35" s="20" t="str">
        <f t="shared" si="0"/>
        <v>ok</v>
      </c>
      <c r="G35" s="3" t="s">
        <v>171</v>
      </c>
    </row>
    <row r="36" spans="1:7" x14ac:dyDescent="0.3">
      <c r="A36" s="3" t="s">
        <v>172</v>
      </c>
      <c r="B36" s="18">
        <f>B19</f>
        <v>2.2736420441699337E-2</v>
      </c>
      <c r="C36" s="3" t="s">
        <v>138</v>
      </c>
      <c r="D36" s="19">
        <v>0</v>
      </c>
      <c r="E36" s="19">
        <v>0.2</v>
      </c>
      <c r="F36" s="20" t="str">
        <f t="shared" si="0"/>
        <v>ok</v>
      </c>
      <c r="G36" s="3" t="s">
        <v>173</v>
      </c>
    </row>
    <row r="38" spans="1:7" x14ac:dyDescent="0.3">
      <c r="A38" s="12" t="s">
        <v>174</v>
      </c>
    </row>
    <row r="39" spans="1:7" x14ac:dyDescent="0.3">
      <c r="A39" s="6" t="s">
        <v>175</v>
      </c>
    </row>
    <row r="40" spans="1:7" x14ac:dyDescent="0.3">
      <c r="A40" s="6" t="s">
        <v>176</v>
      </c>
    </row>
    <row r="41" spans="1:7" x14ac:dyDescent="0.3">
      <c r="A41" s="6" t="s">
        <v>177</v>
      </c>
    </row>
    <row r="42" spans="1:7" x14ac:dyDescent="0.3">
      <c r="A42" s="6" t="s">
        <v>178</v>
      </c>
    </row>
    <row r="43" spans="1:7" x14ac:dyDescent="0.3">
      <c r="A43" s="6"/>
    </row>
    <row r="44" spans="1:7" x14ac:dyDescent="0.3">
      <c r="A44" s="6" t="s">
        <v>179</v>
      </c>
    </row>
    <row r="45" spans="1:7" x14ac:dyDescent="0.3">
      <c r="A45" s="6" t="s">
        <v>180</v>
      </c>
    </row>
    <row r="46" spans="1:7" x14ac:dyDescent="0.3">
      <c r="A46" s="6" t="s">
        <v>181</v>
      </c>
    </row>
    <row r="47" spans="1:7" x14ac:dyDescent="0.3">
      <c r="A47" s="6" t="s">
        <v>182</v>
      </c>
    </row>
    <row r="48" spans="1:7" x14ac:dyDescent="0.3">
      <c r="A48" s="6" t="s">
        <v>183</v>
      </c>
    </row>
    <row r="49" spans="1:1" x14ac:dyDescent="0.3">
      <c r="A49" s="6" t="s">
        <v>184</v>
      </c>
    </row>
    <row r="50" spans="1:1" x14ac:dyDescent="0.3">
      <c r="A50" s="6" t="s">
        <v>185</v>
      </c>
    </row>
    <row r="51" spans="1:1" x14ac:dyDescent="0.3">
      <c r="A51" s="6"/>
    </row>
    <row r="52" spans="1:1" x14ac:dyDescent="0.3">
      <c r="A52" s="6" t="s">
        <v>186</v>
      </c>
    </row>
    <row r="53" spans="1:1" x14ac:dyDescent="0.3">
      <c r="A53" s="6" t="s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baseColWidth="10" defaultColWidth="8.88671875" defaultRowHeight="14.4" x14ac:dyDescent="0.3"/>
  <cols>
    <col min="1" max="1" width="30" customWidth="1"/>
    <col min="2" max="2" width="18" customWidth="1"/>
    <col min="3" max="3" width="11" customWidth="1"/>
    <col min="4" max="4" width="13" customWidth="1"/>
    <col min="5" max="5" width="72" customWidth="1"/>
  </cols>
  <sheetData>
    <row r="1" spans="1:5" ht="15.6" x14ac:dyDescent="0.3">
      <c r="A1" s="11" t="s">
        <v>188</v>
      </c>
    </row>
    <row r="3" spans="1:5" x14ac:dyDescent="0.3">
      <c r="A3" s="6" t="s">
        <v>189</v>
      </c>
    </row>
    <row r="4" spans="1:5" x14ac:dyDescent="0.3">
      <c r="A4" s="6" t="s">
        <v>190</v>
      </c>
    </row>
    <row r="5" spans="1:5" x14ac:dyDescent="0.3">
      <c r="A5" s="6" t="s">
        <v>191</v>
      </c>
    </row>
    <row r="7" spans="1:5" x14ac:dyDescent="0.3">
      <c r="A7" s="1" t="s">
        <v>192</v>
      </c>
      <c r="B7" s="1" t="s">
        <v>193</v>
      </c>
      <c r="C7" s="1" t="s">
        <v>194</v>
      </c>
      <c r="D7" s="1" t="s">
        <v>146</v>
      </c>
      <c r="E7" s="1" t="s">
        <v>195</v>
      </c>
    </row>
    <row r="8" spans="1:5" x14ac:dyDescent="0.3">
      <c r="A8" s="3" t="s">
        <v>196</v>
      </c>
      <c r="B8" s="21" t="s">
        <v>197</v>
      </c>
      <c r="C8" s="21">
        <f>Parameter!B4</f>
        <v>1.1499999999999999</v>
      </c>
      <c r="D8" s="21">
        <f>Parameter!B27</f>
        <v>0.23333333333333339</v>
      </c>
      <c r="E8" s="3" t="s">
        <v>198</v>
      </c>
    </row>
    <row r="9" spans="1:5" x14ac:dyDescent="0.3">
      <c r="A9" s="3" t="s">
        <v>199</v>
      </c>
      <c r="B9" s="21">
        <f>Parameter!B7</f>
        <v>0.15</v>
      </c>
      <c r="C9" s="21">
        <f>Parameter!B24</f>
        <v>0.99999999999999989</v>
      </c>
      <c r="D9" s="21">
        <f>Parameter!B28</f>
        <v>0.33333333333333343</v>
      </c>
      <c r="E9" s="3" t="s">
        <v>200</v>
      </c>
    </row>
    <row r="10" spans="1:5" x14ac:dyDescent="0.3">
      <c r="A10" s="3" t="s">
        <v>201</v>
      </c>
      <c r="B10" s="21">
        <f>Parameter!B30</f>
        <v>0.5</v>
      </c>
      <c r="C10" s="21" t="s">
        <v>202</v>
      </c>
      <c r="D10" s="21" t="s">
        <v>202</v>
      </c>
      <c r="E10" s="3" t="s">
        <v>203</v>
      </c>
    </row>
    <row r="13" spans="1:5" x14ac:dyDescent="0.3">
      <c r="A13" s="6" t="s">
        <v>204</v>
      </c>
    </row>
    <row r="14" spans="1:5" x14ac:dyDescent="0.3">
      <c r="A14" s="6" t="s">
        <v>205</v>
      </c>
    </row>
    <row r="15" spans="1:5" x14ac:dyDescent="0.3">
      <c r="A15" s="6" t="s">
        <v>206</v>
      </c>
    </row>
    <row r="16" spans="1:5" x14ac:dyDescent="0.3">
      <c r="A16" s="6" t="s">
        <v>207</v>
      </c>
    </row>
    <row r="17" spans="1:1" x14ac:dyDescent="0.3">
      <c r="A17" s="6"/>
    </row>
    <row r="18" spans="1:1" x14ac:dyDescent="0.3">
      <c r="A18" s="6" t="s">
        <v>208</v>
      </c>
    </row>
    <row r="19" spans="1:1" x14ac:dyDescent="0.3">
      <c r="A19" s="6" t="s">
        <v>209</v>
      </c>
    </row>
    <row r="20" spans="1:1" x14ac:dyDescent="0.3">
      <c r="A20" s="6" t="s">
        <v>210</v>
      </c>
    </row>
    <row r="21" spans="1:1" x14ac:dyDescent="0.3">
      <c r="A21" s="6" t="s">
        <v>211</v>
      </c>
    </row>
    <row r="22" spans="1:1" x14ac:dyDescent="0.3">
      <c r="A22" s="6" t="s">
        <v>212</v>
      </c>
    </row>
    <row r="23" spans="1:1" x14ac:dyDescent="0.3">
      <c r="A23" s="6" t="s">
        <v>213</v>
      </c>
    </row>
    <row r="24" spans="1:1" x14ac:dyDescent="0.3">
      <c r="A24" s="6" t="s">
        <v>214</v>
      </c>
    </row>
    <row r="25" spans="1:1" x14ac:dyDescent="0.3">
      <c r="A25" s="6"/>
    </row>
    <row r="26" spans="1:1" x14ac:dyDescent="0.3">
      <c r="A26" s="6" t="s">
        <v>215</v>
      </c>
    </row>
    <row r="27" spans="1:1" x14ac:dyDescent="0.3">
      <c r="A27" s="6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/>
  </sheetViews>
  <sheetFormatPr baseColWidth="10" defaultColWidth="8.88671875" defaultRowHeight="14.4" x14ac:dyDescent="0.3"/>
  <cols>
    <col min="1" max="1" width="10" customWidth="1"/>
    <col min="2" max="2" width="14" customWidth="1"/>
    <col min="3" max="3" width="18" customWidth="1"/>
    <col min="4" max="4" width="80" customWidth="1"/>
  </cols>
  <sheetData>
    <row r="1" spans="1:4" ht="15.6" x14ac:dyDescent="0.3">
      <c r="A1" s="11" t="s">
        <v>217</v>
      </c>
    </row>
    <row r="3" spans="1:4" x14ac:dyDescent="0.3">
      <c r="A3" s="1" t="s">
        <v>218</v>
      </c>
      <c r="B3" s="1" t="s">
        <v>219</v>
      </c>
      <c r="C3" s="1" t="s">
        <v>220</v>
      </c>
      <c r="D3" s="1" t="s">
        <v>221</v>
      </c>
    </row>
    <row r="4" spans="1:4" x14ac:dyDescent="0.3">
      <c r="A4" s="22" t="s">
        <v>222</v>
      </c>
      <c r="B4" s="22" t="s">
        <v>223</v>
      </c>
      <c r="C4" s="22" t="s">
        <v>224</v>
      </c>
      <c r="D4" s="23" t="s">
        <v>225</v>
      </c>
    </row>
    <row r="5" spans="1:4" ht="30" customHeight="1" x14ac:dyDescent="0.3">
      <c r="A5" s="24" t="s">
        <v>226</v>
      </c>
      <c r="B5" s="24" t="s">
        <v>227</v>
      </c>
      <c r="C5" s="24" t="s">
        <v>228</v>
      </c>
      <c r="D5" s="25" t="s">
        <v>229</v>
      </c>
    </row>
    <row r="6" spans="1:4" ht="26.4" x14ac:dyDescent="0.3">
      <c r="A6" s="24" t="s">
        <v>230</v>
      </c>
      <c r="B6" s="24" t="s">
        <v>231</v>
      </c>
      <c r="C6" s="24" t="s">
        <v>232</v>
      </c>
      <c r="D6" s="25" t="s">
        <v>233</v>
      </c>
    </row>
    <row r="7" spans="1:4" ht="26.4" x14ac:dyDescent="0.3">
      <c r="A7" s="22" t="s">
        <v>230</v>
      </c>
      <c r="B7" s="22" t="s">
        <v>1</v>
      </c>
      <c r="C7" s="22" t="s">
        <v>29</v>
      </c>
      <c r="D7" s="23" t="s">
        <v>234</v>
      </c>
    </row>
    <row r="8" spans="1:4" ht="26.4" x14ac:dyDescent="0.3">
      <c r="A8" s="22" t="s">
        <v>230</v>
      </c>
      <c r="B8" s="22" t="s">
        <v>235</v>
      </c>
      <c r="C8" s="22" t="s">
        <v>236</v>
      </c>
      <c r="D8" s="23" t="s">
        <v>237</v>
      </c>
    </row>
    <row r="9" spans="1:4" x14ac:dyDescent="0.3">
      <c r="A9" s="22" t="s">
        <v>230</v>
      </c>
      <c r="B9" s="22" t="s">
        <v>235</v>
      </c>
      <c r="C9" s="22" t="s">
        <v>238</v>
      </c>
      <c r="D9" s="23" t="s">
        <v>239</v>
      </c>
    </row>
    <row r="10" spans="1:4" ht="26.4" x14ac:dyDescent="0.3">
      <c r="A10" s="22" t="s">
        <v>230</v>
      </c>
      <c r="B10" s="22" t="s">
        <v>240</v>
      </c>
      <c r="C10" s="22" t="s">
        <v>241</v>
      </c>
      <c r="D10" s="23" t="s">
        <v>242</v>
      </c>
    </row>
    <row r="11" spans="1:4" x14ac:dyDescent="0.3">
      <c r="A11" s="22" t="s">
        <v>230</v>
      </c>
      <c r="B11" s="22" t="s">
        <v>243</v>
      </c>
      <c r="C11" s="22" t="s">
        <v>244</v>
      </c>
      <c r="D11" s="23" t="s">
        <v>245</v>
      </c>
    </row>
    <row r="12" spans="1:4" x14ac:dyDescent="0.3">
      <c r="A12" s="22" t="s">
        <v>230</v>
      </c>
      <c r="B12" s="22" t="s">
        <v>243</v>
      </c>
      <c r="C12" s="22" t="s">
        <v>246</v>
      </c>
      <c r="D12" s="23" t="s">
        <v>247</v>
      </c>
    </row>
    <row r="13" spans="1:4" x14ac:dyDescent="0.3">
      <c r="A13" s="22" t="s">
        <v>230</v>
      </c>
      <c r="B13" s="22" t="s">
        <v>248</v>
      </c>
      <c r="C13" s="22" t="s">
        <v>249</v>
      </c>
      <c r="D13" s="23" t="s">
        <v>250</v>
      </c>
    </row>
    <row r="14" spans="1:4" ht="39.6" x14ac:dyDescent="0.3">
      <c r="A14" s="22" t="s">
        <v>251</v>
      </c>
      <c r="B14" s="22" t="s">
        <v>235</v>
      </c>
      <c r="C14" s="22" t="s">
        <v>107</v>
      </c>
      <c r="D14" s="23" t="s">
        <v>252</v>
      </c>
    </row>
    <row r="15" spans="1:4" x14ac:dyDescent="0.3">
      <c r="A15" s="22" t="s">
        <v>251</v>
      </c>
      <c r="B15" s="22" t="s">
        <v>1</v>
      </c>
      <c r="C15" s="22" t="s">
        <v>130</v>
      </c>
      <c r="D15" s="23" t="s">
        <v>253</v>
      </c>
    </row>
    <row r="16" spans="1:4" x14ac:dyDescent="0.3">
      <c r="A16" s="22" t="s">
        <v>251</v>
      </c>
      <c r="B16" s="22" t="s">
        <v>1</v>
      </c>
      <c r="C16" s="22" t="s">
        <v>128</v>
      </c>
      <c r="D16" s="23" t="s">
        <v>254</v>
      </c>
    </row>
    <row r="17" spans="1:4" ht="26.4" x14ac:dyDescent="0.3">
      <c r="A17" s="22" t="s">
        <v>251</v>
      </c>
      <c r="B17" s="22" t="s">
        <v>255</v>
      </c>
      <c r="C17" s="22" t="s">
        <v>256</v>
      </c>
      <c r="D17" s="23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Parameter</vt:lpstr>
      <vt:lpstr>Auslegung</vt:lpstr>
      <vt:lpstr>Anschlaege</vt:lpstr>
      <vt:lpstr>Aenderungen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Konrad Wehkamp</cp:lastModifiedBy>
  <dcterms:created xsi:type="dcterms:W3CDTF">2026-10-12T14:32:36Z</dcterms:created>
  <dcterms:modified xsi:type="dcterms:W3CDTF">2026-10-12T14:35:00Z</dcterms:modified>
</cp:coreProperties>
</file>